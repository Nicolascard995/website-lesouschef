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Übersicht" sheetId="1" state="visible" r:id="rId1"/>
    <sheet xmlns:r="http://schemas.openxmlformats.org/officeDocument/2006/relationships" name="⚙️ Einstellungen" sheetId="2" state="visible" r:id="rId2"/>
    <sheet xmlns:r="http://schemas.openxmlformats.org/officeDocument/2006/relationships" name="📈 Wochen" sheetId="3" state="visible" r:id="rId3"/>
    <sheet xmlns:r="http://schemas.openxmlformats.org/officeDocument/2006/relationships" name="📦 Inventar" sheetId="4" state="visible" r:id="rId4"/>
    <sheet xmlns:r="http://schemas.openxmlformats.org/officeDocument/2006/relationships" name="🏪 Lieferanten" sheetId="5" state="visible" r:id="rId5"/>
  </sheets>
  <definedNames>
    <definedName name="Kategorien">'⚙️ Einstellungen'!$D$6:$D$13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[Red]-#,##0.00;-"/>
    <numFmt numFmtId="166" formatCode="dd/mm/yyyy"/>
    <numFmt numFmtId="167" formatCode="+0.0%;[Red]-0.0%;-"/>
  </numFmts>
  <fonts count="23">
    <font>
      <name val="Calibri"/>
      <family val="2"/>
      <color theme="1"/>
      <sz val="11"/>
      <scheme val="minor"/>
    </font>
    <font>
      <name val="Arial"/>
      <b val="1"/>
      <color rgb="00F5F0E8"/>
      <sz val="18"/>
    </font>
    <font>
      <name val="Arial"/>
      <b val="1"/>
      <i val="1"/>
      <color rgb="008C8478"/>
      <sz val="9"/>
    </font>
    <font>
      <name val="Arial"/>
      <b val="1"/>
      <color rgb="001A1814"/>
      <sz val="11"/>
    </font>
    <font>
      <name val="Arial"/>
      <b val="1"/>
      <color rgb="00F5F0E8"/>
      <sz val="9"/>
    </font>
    <font>
      <name val="Arial"/>
      <b val="1"/>
      <color rgb="001A1814"/>
      <sz val="14"/>
    </font>
    <font>
      <name val="Arial"/>
      <b val="1"/>
      <color rgb="00BA7517"/>
      <sz val="14"/>
    </font>
    <font>
      <name val="Arial"/>
      <b val="1"/>
      <color rgb="00D94F2B"/>
      <sz val="14"/>
    </font>
    <font>
      <name val="Arial"/>
      <b val="1"/>
      <color rgb="003D7A4A"/>
      <sz val="14"/>
    </font>
    <font>
      <name val="Arial"/>
      <b val="1"/>
      <color rgb="001A1814"/>
      <sz val="12"/>
    </font>
    <font>
      <name val="Arial"/>
      <b val="1"/>
      <color rgb="00F5F0E8"/>
      <sz val="10"/>
    </font>
    <font>
      <name val="Arial"/>
      <color rgb="001A1814"/>
      <sz val="10"/>
    </font>
    <font>
      <name val="Arial"/>
      <color rgb="00BA7517"/>
      <sz val="10"/>
    </font>
    <font>
      <name val="Arial"/>
      <b val="1"/>
      <color rgb="001A1814"/>
      <sz val="10"/>
    </font>
    <font>
      <name val="Arial"/>
      <b val="1"/>
      <color rgb="00BA7517"/>
      <sz val="10"/>
    </font>
    <font>
      <name val="Arial"/>
      <i val="1"/>
      <color rgb="008C8478"/>
      <sz val="9"/>
    </font>
    <font>
      <name val="Arial"/>
      <b val="1"/>
      <color rgb="00F5F0E8"/>
      <sz val="14"/>
    </font>
    <font>
      <name val="Arial"/>
      <color rgb="000000CC"/>
      <sz val="10"/>
    </font>
    <font>
      <name val="Arial"/>
      <i val="1"/>
      <color rgb="008C8478"/>
      <sz val="8"/>
    </font>
    <font>
      <name val="Arial"/>
      <color rgb="003D3830"/>
      <sz val="9"/>
    </font>
    <font>
      <name val="Arial"/>
      <b val="1"/>
      <color rgb="00D94F2B"/>
      <sz val="10"/>
    </font>
    <font>
      <name val="Arial"/>
      <color rgb="00006600"/>
      <sz val="10"/>
    </font>
    <font>
      <name val="Arial"/>
      <b val="1"/>
      <i val="1"/>
      <color rgb="00D94F2B"/>
      <sz val="9"/>
    </font>
  </fonts>
  <fills count="13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D94F2B"/>
      </patternFill>
    </fill>
    <fill>
      <patternFill patternType="solid">
        <fgColor rgb="00EDE7D9"/>
      </patternFill>
    </fill>
    <fill>
      <patternFill patternType="solid">
        <fgColor rgb="003D3830"/>
      </patternFill>
    </fill>
    <fill>
      <patternFill patternType="solid">
        <fgColor rgb="00BA7517"/>
      </patternFill>
    </fill>
    <fill>
      <patternFill patternType="solid">
        <fgColor rgb="00FDF5E8"/>
      </patternFill>
    </fill>
    <fill>
      <patternFill patternType="solid">
        <fgColor rgb="00FCF0ED"/>
      </patternFill>
    </fill>
    <fill>
      <patternFill patternType="solid">
        <fgColor rgb="003D7A4A"/>
      </patternFill>
    </fill>
    <fill>
      <patternFill patternType="solid">
        <fgColor rgb="00EBF3EC"/>
      </patternFill>
    </fill>
    <fill>
      <patternFill patternType="solid">
        <fgColor rgb="00F5F0E8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4" fontId="12" fillId="4" borderId="1" applyAlignment="1" pivotButton="0" quotePrefix="0" xfId="0">
      <alignment horizontal="right" vertical="center"/>
    </xf>
    <xf numFmtId="4" fontId="13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4" fontId="11" fillId="11" borderId="1" applyAlignment="1" pivotButton="0" quotePrefix="0" xfId="0">
      <alignment horizontal="right" vertical="center"/>
    </xf>
    <xf numFmtId="4" fontId="12" fillId="11" borderId="1" applyAlignment="1" pivotButton="0" quotePrefix="0" xfId="0">
      <alignment horizontal="right" vertical="center"/>
    </xf>
    <xf numFmtId="4" fontId="13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4" fontId="14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0" fillId="4" borderId="0" pivotButton="0" quotePrefix="0" xfId="0"/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right" vertical="center"/>
    </xf>
    <xf numFmtId="0" fontId="18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164" fontId="17" fillId="12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wrapText="1"/>
    </xf>
    <xf numFmtId="4" fontId="17" fillId="12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166" fontId="17" fillId="12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4" fontId="14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4" fontId="20" fillId="8" borderId="1" applyAlignment="1" pivotButton="0" quotePrefix="0" xfId="0">
      <alignment horizontal="right" vertical="center"/>
    </xf>
    <xf numFmtId="164" fontId="20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15" fillId="0" borderId="0" pivotButton="0" quotePrefix="0" xfId="0"/>
    <xf numFmtId="4" fontId="21" fillId="4" borderId="1" applyAlignment="1" pivotButton="0" quotePrefix="0" xfId="0">
      <alignment horizontal="right" vertical="center"/>
    </xf>
    <xf numFmtId="4" fontId="21" fillId="11" borderId="1" applyAlignment="1" pivotButton="0" quotePrefix="0" xfId="0">
      <alignment horizontal="right" vertical="center"/>
    </xf>
    <xf numFmtId="4" fontId="20" fillId="4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" fontId="17" fillId="12" borderId="1" applyAlignment="1" pivotButton="0" quotePrefix="0" xfId="0">
      <alignment horizontal="right" vertical="center"/>
    </xf>
    <xf numFmtId="4" fontId="14" fillId="11" borderId="1" applyAlignment="1" pivotButton="0" quotePrefix="0" xfId="0">
      <alignment horizontal="right" vertical="center"/>
    </xf>
    <xf numFmtId="0" fontId="0" fillId="7" borderId="0" pivotButton="0" quotePrefix="0" xfId="0"/>
    <xf numFmtId="0" fontId="22" fillId="0" borderId="0" pivotButton="0" quotePrefix="0" xfId="0"/>
    <xf numFmtId="167" fontId="11" fillId="4" borderId="1" applyAlignment="1" pivotButton="0" quotePrefix="0" xfId="0">
      <alignment horizontal="right" vertical="center"/>
    </xf>
    <xf numFmtId="167" fontId="11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2" ht="40" customHeight="1">
      <c r="A2" s="1" t="inlineStr">
        <is>
          <t>LeSousChef  ·  FOOD COST TRACKER  ·  v4 DE</t>
        </is>
      </c>
    </row>
    <row r="3" ht="18" customHeight="1">
      <c r="A3" s="2">
        <f>"Währung: "&amp;'⚙️ Einstellungen'!$B$10&amp;"  |  Maßsystem: "&amp;'⚙️ Einstellungen'!$B$11</f>
        <v/>
      </c>
    </row>
    <row r="4" ht="1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6" ht="20" customHeight="1">
      <c r="A6" s="4">
        <f>IF(OR('⚙️ Einstellungen'!$B$7&lt;1,'⚙️ Einstellungen'!$B$7&gt;9),"⚠ FEHLER: Aktive Woche außerhalb des Bereichs (1-9). In Einstellungen B7 korrigieren","WOCHENÜBERSICHT — WOCHE "&amp;'⚙️ Einstellungen'!$B$7)</f>
        <v/>
      </c>
    </row>
    <row r="7" ht="22" customHeight="1">
      <c r="A7" s="5">
        <f>"UMSATZ ("&amp;'⚙️ Einstellungen'!$B$10&amp;")"</f>
        <v/>
      </c>
      <c r="C7" s="6">
        <f>"GESAMTKOSTEN ("&amp;'⚙️ Einstellungen'!$B$10&amp;")"</f>
        <v/>
      </c>
      <c r="E7" s="7">
        <f>"SCHWUND ("&amp;'⚙️ Einstellungen'!$B$10&amp;")"</f>
        <v/>
      </c>
      <c r="G7" s="8" t="inlineStr">
        <is>
          <t>FOOD-COST %</t>
        </is>
      </c>
      <c r="I7" s="9" t="inlineStr">
        <is>
          <t>ZIEL FC%</t>
        </is>
      </c>
    </row>
    <row r="8" ht="36" customHeight="1">
      <c r="A8" s="10">
        <f>IFERROR(INDEX('📈 Wochen'!$B$7:$J$7,1,'⚙️ Einstellungen'!$B$7),0)</f>
        <v/>
      </c>
      <c r="C8" s="10">
        <f>IFERROR(INDEX('📈 Wochen'!$B$40:$J$40,1,'⚙️ Einstellungen'!$B$7),0)</f>
        <v/>
      </c>
      <c r="E8" s="11">
        <f>IFERROR(INDEX('📈 Wochen'!$B$29:$J$29,1,'⚙️ Einstellungen'!$B$7),0)</f>
        <v/>
      </c>
      <c r="G8" s="12">
        <f>IFERROR(INDEX('📈 Wochen'!$B$43:$J$43,1,'⚙️ Einstellungen'!$B$7),0)</f>
        <v/>
      </c>
      <c r="I8" s="13">
        <f>'⚙️ Einstellungen'!$B$13</f>
        <v/>
      </c>
    </row>
    <row r="10" ht="22" customHeight="1">
      <c r="A10" s="4" t="inlineStr">
        <is>
          <t>OPERATIVER STATUS</t>
        </is>
      </c>
    </row>
    <row r="11" ht="22" customHeight="1">
      <c r="A11" s="6" t="inlineStr">
        <is>
          <t>UMSATZ-ALARM</t>
        </is>
      </c>
      <c r="E11" s="6" t="inlineStr">
        <is>
          <t>FC-ALARM</t>
        </is>
      </c>
      <c r="I11" s="6" t="inlineStr">
        <is>
          <t>TREND 3 WOCHEN</t>
        </is>
      </c>
    </row>
    <row r="12" ht="28" customHeight="1">
      <c r="A12" s="14">
        <f>IFERROR(IF(INDEX('📈 Wochen'!$B$7:$J$7,1,'⚙️ Einstellungen'!$B$7)&lt;'⚙️ Einstellungen'!$B$28,"⚠ NIEDRIGER UMSATZ","✓ OK"),"—")</f>
        <v/>
      </c>
      <c r="E12" s="14">
        <f>IFERROR(IF(INDEX('📈 Wochen'!$B$43:$J$43,1,'⚙️ Einstellungen'!$B$7)&gt;'⚙️ Einstellungen'!$B$13+'⚙️ Einstellungen'!$B$29,"🚨 FC ZU HOCH",IF(INDEX('📈 Wochen'!$B$43:$J$43,1,'⚙️ Einstellungen'!$B$7)&gt;'⚙️ Einstellungen'!$B$13,"⚠ Über Ziel","✓ Im Rahmen")),"—")</f>
        <v/>
      </c>
      <c r="I12" s="14">
        <f>IFERROR(IF('⚙️ Einstellungen'!$B$7&lt;3,"—",IF(COUNTIFS(OFFSET('📈 Wochen'!$A$43,0,'⚙️ Einstellungen'!$B$7-2,1,3),"&gt;"&amp;'⚙️ Einstellungen'!$B$13)&gt;=3,"🚨 3 Wo. über Ziel","✓ OK")),"—")</f>
        <v/>
      </c>
    </row>
    <row r="14" ht="20" customHeight="1">
      <c r="A14" s="4">
        <f>"AUFSCHLÜSSELUNG NACH KATEGORIE — WOCHE "&amp;'⚙️ Einstellungen'!$B$7</f>
        <v/>
      </c>
    </row>
    <row r="15">
      <c r="A15" s="15" t="inlineStr">
        <is>
          <t>Kategorie</t>
        </is>
      </c>
      <c r="B15" s="15">
        <f>"Einkäufe ("&amp;'⚙️ Einstellungen'!$B$10&amp;")"</f>
        <v/>
      </c>
      <c r="C15" s="15">
        <f>"Schwund ("&amp;'⚙️ Einstellungen'!$B$10&amp;")"</f>
        <v/>
      </c>
      <c r="D15" s="15">
        <f>"Gesamtkosten ("&amp;'⚙️ Einstellungen'!$B$10&amp;")"</f>
        <v/>
      </c>
      <c r="E15" s="15">
        <f>"Ziel ("&amp;'⚙️ Einstellungen'!$B$10&amp;")"</f>
        <v/>
      </c>
      <c r="F15" s="15" t="inlineStr">
        <is>
          <t>Abweichung</t>
        </is>
      </c>
      <c r="G15" s="15" t="inlineStr">
        <is>
          <t>Trend</t>
        </is>
      </c>
      <c r="H15" s="15" t="inlineStr">
        <is>
          <t>Status</t>
        </is>
      </c>
    </row>
    <row r="16" ht="18" customHeight="1">
      <c r="A16" s="16" t="inlineStr">
        <is>
          <t>Fleisch &amp; Geflügel</t>
        </is>
      </c>
      <c r="B16" s="17">
        <f>IFERROR(INDEX('📈 Wochen'!$B$19:$J$19,1,'⚙️ Einstellungen'!$B$7),0)</f>
        <v/>
      </c>
      <c r="C16" s="18">
        <f>IFERROR(INDEX('📈 Wochen'!$B$30:$J$30,1,'⚙️ Einstellungen'!$B$7),0)</f>
        <v/>
      </c>
      <c r="D16" s="19">
        <f>B16+C16</f>
        <v/>
      </c>
      <c r="E16" s="17">
        <f>IFERROR(INDEX('📈 Wochen'!$B$8:$J$8,1,'⚙️ Einstellungen'!$B$7)*'⚙️ Einstellungen'!$B$16,0)</f>
        <v/>
      </c>
      <c r="F16" s="20">
        <f>IFERROR(D16-E16,0)</f>
        <v/>
      </c>
      <c r="G16" s="21">
        <f>IF('⚙️ Einstellungen'!$B$7&lt;=1,"—",IF(INDEX('📈 Wochen'!$B$19:$J$19,1,'⚙️ Einstellungen'!$B$7)+INDEX('📈 Wochen'!$B$30:$J$30,1,'⚙️ Einstellungen'!$B$7)&gt;INDEX('📈 Wochen'!$B$19:$J$19,1,'⚙️ Einstellungen'!$B$7-1)+INDEX('📈 Wochen'!$B$30:$J$30,1,'⚙️ Einstellungen'!$B$7-1),"↑ steigt",IF(INDEX('📈 Wochen'!$B$19:$J$19,1,'⚙️ Einstellungen'!$B$7)+INDEX('📈 Wochen'!$B$30:$J$30,1,'⚙️ Einstellungen'!$B$7)&lt;INDEX('📈 Wochen'!$B$19:$J$19,1,'⚙️ Einstellungen'!$B$7-1)+INDEX('📈 Wochen'!$B$30:$J$30,1,'⚙️ Einstellungen'!$B$7-1),"↓ fällt","= gleich")))</f>
        <v/>
      </c>
      <c r="H16" s="21">
        <f>IF(D16=0,"—",IF(D16&lt;=E16,"✓ OK","⚠ Prüfen"))</f>
        <v/>
      </c>
    </row>
    <row r="17" ht="18" customHeight="1">
      <c r="A17" s="22" t="inlineStr">
        <is>
          <t>Fisch &amp; Meeresfrüchte</t>
        </is>
      </c>
      <c r="B17" s="23">
        <f>IFERROR(INDEX('📈 Wochen'!$B$20:$J$20,1,'⚙️ Einstellungen'!$B$7),0)</f>
        <v/>
      </c>
      <c r="C17" s="24">
        <f>IFERROR(INDEX('📈 Wochen'!$B$31:$J$31,1,'⚙️ Einstellungen'!$B$7),0)</f>
        <v/>
      </c>
      <c r="D17" s="25">
        <f>B17+C17</f>
        <v/>
      </c>
      <c r="E17" s="23">
        <f>IFERROR(INDEX('📈 Wochen'!$B$9:$J$9,1,'⚙️ Einstellungen'!$B$7)*'⚙️ Einstellungen'!$B$17,0)</f>
        <v/>
      </c>
      <c r="F17" s="26">
        <f>IFERROR(D17-E17,0)</f>
        <v/>
      </c>
      <c r="G17" s="27">
        <f>IF('⚙️ Einstellungen'!$B$7&lt;=1,"—",IF(INDEX('📈 Wochen'!$B$20:$J$20,1,'⚙️ Einstellungen'!$B$7)+INDEX('📈 Wochen'!$B$31:$J$31,1,'⚙️ Einstellungen'!$B$7)&gt;INDEX('📈 Wochen'!$B$20:$J$20,1,'⚙️ Einstellungen'!$B$7-1)+INDEX('📈 Wochen'!$B$31:$J$31,1,'⚙️ Einstellungen'!$B$7-1),"↑ steigt",IF(INDEX('📈 Wochen'!$B$20:$J$20,1,'⚙️ Einstellungen'!$B$7)+INDEX('📈 Wochen'!$B$31:$J$31,1,'⚙️ Einstellungen'!$B$7)&lt;INDEX('📈 Wochen'!$B$20:$J$20,1,'⚙️ Einstellungen'!$B$7-1)+INDEX('📈 Wochen'!$B$31:$J$31,1,'⚙️ Einstellungen'!$B$7-1),"↓ fällt","= gleich")))</f>
        <v/>
      </c>
      <c r="H17" s="27">
        <f>IF(D17=0,"—",IF(D17&lt;=E17,"✓ OK","⚠ Prüfen"))</f>
        <v/>
      </c>
    </row>
    <row r="18" ht="18" customHeight="1">
      <c r="A18" s="16" t="inlineStr">
        <is>
          <t>Obst &amp; Gemüse</t>
        </is>
      </c>
      <c r="B18" s="17">
        <f>IFERROR(INDEX('📈 Wochen'!$B$21:$J$21,1,'⚙️ Einstellungen'!$B$7),0)</f>
        <v/>
      </c>
      <c r="C18" s="18">
        <f>IFERROR(INDEX('📈 Wochen'!$B$32:$J$32,1,'⚙️ Einstellungen'!$B$7),0)</f>
        <v/>
      </c>
      <c r="D18" s="19">
        <f>B18+C18</f>
        <v/>
      </c>
      <c r="E18" s="17">
        <f>IFERROR(INDEX('📈 Wochen'!$B$10:$J$10,1,'⚙️ Einstellungen'!$B$7)*'⚙️ Einstellungen'!$B$18,0)</f>
        <v/>
      </c>
      <c r="F18" s="20">
        <f>IFERROR(D18-E18,0)</f>
        <v/>
      </c>
      <c r="G18" s="21">
        <f>IF('⚙️ Einstellungen'!$B$7&lt;=1,"—",IF(INDEX('📈 Wochen'!$B$21:$J$21,1,'⚙️ Einstellungen'!$B$7)+INDEX('📈 Wochen'!$B$32:$J$32,1,'⚙️ Einstellungen'!$B$7)&gt;INDEX('📈 Wochen'!$B$21:$J$21,1,'⚙️ Einstellungen'!$B$7-1)+INDEX('📈 Wochen'!$B$32:$J$32,1,'⚙️ Einstellungen'!$B$7-1),"↑ steigt",IF(INDEX('📈 Wochen'!$B$21:$J$21,1,'⚙️ Einstellungen'!$B$7)+INDEX('📈 Wochen'!$B$32:$J$32,1,'⚙️ Einstellungen'!$B$7)&lt;INDEX('📈 Wochen'!$B$21:$J$21,1,'⚙️ Einstellungen'!$B$7-1)+INDEX('📈 Wochen'!$B$32:$J$32,1,'⚙️ Einstellungen'!$B$7-1),"↓ fällt","= gleich")))</f>
        <v/>
      </c>
      <c r="H18" s="21">
        <f>IF(D18=0,"—",IF(D18&lt;=E18,"✓ OK","⚠ Prüfen"))</f>
        <v/>
      </c>
    </row>
    <row r="19" ht="18" customHeight="1">
      <c r="A19" s="22" t="inlineStr">
        <is>
          <t>Milchprodukte &amp; Eier</t>
        </is>
      </c>
      <c r="B19" s="23">
        <f>IFERROR(INDEX('📈 Wochen'!$B$22:$J$22,1,'⚙️ Einstellungen'!$B$7),0)</f>
        <v/>
      </c>
      <c r="C19" s="24">
        <f>IFERROR(INDEX('📈 Wochen'!$B$33:$J$33,1,'⚙️ Einstellungen'!$B$7),0)</f>
        <v/>
      </c>
      <c r="D19" s="25">
        <f>B19+C19</f>
        <v/>
      </c>
      <c r="E19" s="23">
        <f>IFERROR(INDEX('📈 Wochen'!$B$11:$J$11,1,'⚙️ Einstellungen'!$B$7)*'⚙️ Einstellungen'!$B$19,0)</f>
        <v/>
      </c>
      <c r="F19" s="26">
        <f>IFERROR(D19-E19,0)</f>
        <v/>
      </c>
      <c r="G19" s="27">
        <f>IF('⚙️ Einstellungen'!$B$7&lt;=1,"—",IF(INDEX('📈 Wochen'!$B$22:$J$22,1,'⚙️ Einstellungen'!$B$7)+INDEX('📈 Wochen'!$B$33:$J$33,1,'⚙️ Einstellungen'!$B$7)&gt;INDEX('📈 Wochen'!$B$22:$J$22,1,'⚙️ Einstellungen'!$B$7-1)+INDEX('📈 Wochen'!$B$33:$J$33,1,'⚙️ Einstellungen'!$B$7-1),"↑ steigt",IF(INDEX('📈 Wochen'!$B$22:$J$22,1,'⚙️ Einstellungen'!$B$7)+INDEX('📈 Wochen'!$B$33:$J$33,1,'⚙️ Einstellungen'!$B$7)&lt;INDEX('📈 Wochen'!$B$22:$J$22,1,'⚙️ Einstellungen'!$B$7-1)+INDEX('📈 Wochen'!$B$33:$J$33,1,'⚙️ Einstellungen'!$B$7-1),"↓ fällt","= gleich")))</f>
        <v/>
      </c>
      <c r="H19" s="27">
        <f>IF(D19=0,"—",IF(D19&lt;=E19,"✓ OK","⚠ Prüfen"))</f>
        <v/>
      </c>
    </row>
    <row r="20" ht="18" customHeight="1">
      <c r="A20" s="16" t="inlineStr">
        <is>
          <t>Backwaren &amp; Konditorei</t>
        </is>
      </c>
      <c r="B20" s="17">
        <f>IFERROR(INDEX('📈 Wochen'!$B$23:$J$23,1,'⚙️ Einstellungen'!$B$7),0)</f>
        <v/>
      </c>
      <c r="C20" s="18">
        <f>IFERROR(INDEX('📈 Wochen'!$B$34:$J$34,1,'⚙️ Einstellungen'!$B$7),0)</f>
        <v/>
      </c>
      <c r="D20" s="19">
        <f>B20+C20</f>
        <v/>
      </c>
      <c r="E20" s="17">
        <f>IFERROR(INDEX('📈 Wochen'!$B$12:$J$12,1,'⚙️ Einstellungen'!$B$7)*'⚙️ Einstellungen'!$B$20,0)</f>
        <v/>
      </c>
      <c r="F20" s="20">
        <f>IFERROR(D20-E20,0)</f>
        <v/>
      </c>
      <c r="G20" s="21">
        <f>IF('⚙️ Einstellungen'!$B$7&lt;=1,"—",IF(INDEX('📈 Wochen'!$B$23:$J$23,1,'⚙️ Einstellungen'!$B$7)+INDEX('📈 Wochen'!$B$34:$J$34,1,'⚙️ Einstellungen'!$B$7)&gt;INDEX('📈 Wochen'!$B$23:$J$23,1,'⚙️ Einstellungen'!$B$7-1)+INDEX('📈 Wochen'!$B$34:$J$34,1,'⚙️ Einstellungen'!$B$7-1),"↑ steigt",IF(INDEX('📈 Wochen'!$B$23:$J$23,1,'⚙️ Einstellungen'!$B$7)+INDEX('📈 Wochen'!$B$34:$J$34,1,'⚙️ Einstellungen'!$B$7)&lt;INDEX('📈 Wochen'!$B$23:$J$23,1,'⚙️ Einstellungen'!$B$7-1)+INDEX('📈 Wochen'!$B$34:$J$34,1,'⚙️ Einstellungen'!$B$7-1),"↓ fällt","= gleich")))</f>
        <v/>
      </c>
      <c r="H20" s="21">
        <f>IF(D20=0,"—",IF(D20&lt;=E20,"✓ OK","⚠ Prüfen"))</f>
        <v/>
      </c>
    </row>
    <row r="21" ht="18" customHeight="1">
      <c r="A21" s="22" t="inlineStr">
        <is>
          <t>Alkoholfreie Getränke</t>
        </is>
      </c>
      <c r="B21" s="23">
        <f>IFERROR(INDEX('📈 Wochen'!$B$24:$J$24,1,'⚙️ Einstellungen'!$B$7),0)</f>
        <v/>
      </c>
      <c r="C21" s="24">
        <f>IFERROR(INDEX('📈 Wochen'!$B$35:$J$35,1,'⚙️ Einstellungen'!$B$7),0)</f>
        <v/>
      </c>
      <c r="D21" s="25">
        <f>B21+C21</f>
        <v/>
      </c>
      <c r="E21" s="23">
        <f>IFERROR(INDEX('📈 Wochen'!$B$13:$J$13,1,'⚙️ Einstellungen'!$B$7)*'⚙️ Einstellungen'!$B$21,0)</f>
        <v/>
      </c>
      <c r="F21" s="26">
        <f>IFERROR(D21-E21,0)</f>
        <v/>
      </c>
      <c r="G21" s="27">
        <f>IF('⚙️ Einstellungen'!$B$7&lt;=1,"—",IF(INDEX('📈 Wochen'!$B$24:$J$24,1,'⚙️ Einstellungen'!$B$7)+INDEX('📈 Wochen'!$B$35:$J$35,1,'⚙️ Einstellungen'!$B$7)&gt;INDEX('📈 Wochen'!$B$24:$J$24,1,'⚙️ Einstellungen'!$B$7-1)+INDEX('📈 Wochen'!$B$35:$J$35,1,'⚙️ Einstellungen'!$B$7-1),"↑ steigt",IF(INDEX('📈 Wochen'!$B$24:$J$24,1,'⚙️ Einstellungen'!$B$7)+INDEX('📈 Wochen'!$B$35:$J$35,1,'⚙️ Einstellungen'!$B$7)&lt;INDEX('📈 Wochen'!$B$24:$J$24,1,'⚙️ Einstellungen'!$B$7-1)+INDEX('📈 Wochen'!$B$35:$J$35,1,'⚙️ Einstellungen'!$B$7-1),"↓ fällt","= gleich")))</f>
        <v/>
      </c>
      <c r="H21" s="27">
        <f>IF(D21=0,"—",IF(D21&lt;=E21,"✓ OK","⚠ Prüfen"))</f>
        <v/>
      </c>
    </row>
    <row r="22" ht="18" customHeight="1">
      <c r="A22" s="16" t="inlineStr">
        <is>
          <t>Trocken- &amp; Konservenware</t>
        </is>
      </c>
      <c r="B22" s="17">
        <f>IFERROR(INDEX('📈 Wochen'!$B$25:$J$25,1,'⚙️ Einstellungen'!$B$7),0)</f>
        <v/>
      </c>
      <c r="C22" s="18">
        <f>IFERROR(INDEX('📈 Wochen'!$B$36:$J$36,1,'⚙️ Einstellungen'!$B$7),0)</f>
        <v/>
      </c>
      <c r="D22" s="19">
        <f>B22+C22</f>
        <v/>
      </c>
      <c r="E22" s="17">
        <f>IFERROR(INDEX('📈 Wochen'!$B$14:$J$14,1,'⚙️ Einstellungen'!$B$7)*'⚙️ Einstellungen'!$B$22,0)</f>
        <v/>
      </c>
      <c r="F22" s="20">
        <f>IFERROR(D22-E22,0)</f>
        <v/>
      </c>
      <c r="G22" s="21">
        <f>IF('⚙️ Einstellungen'!$B$7&lt;=1,"—",IF(INDEX('📈 Wochen'!$B$25:$J$25,1,'⚙️ Einstellungen'!$B$7)+INDEX('📈 Wochen'!$B$36:$J$36,1,'⚙️ Einstellungen'!$B$7)&gt;INDEX('📈 Wochen'!$B$25:$J$25,1,'⚙️ Einstellungen'!$B$7-1)+INDEX('📈 Wochen'!$B$36:$J$36,1,'⚙️ Einstellungen'!$B$7-1),"↑ steigt",IF(INDEX('📈 Wochen'!$B$25:$J$25,1,'⚙️ Einstellungen'!$B$7)+INDEX('📈 Wochen'!$B$36:$J$36,1,'⚙️ Einstellungen'!$B$7)&lt;INDEX('📈 Wochen'!$B$25:$J$25,1,'⚙️ Einstellungen'!$B$7-1)+INDEX('📈 Wochen'!$B$36:$J$36,1,'⚙️ Einstellungen'!$B$7-1),"↓ fällt","= gleich")))</f>
        <v/>
      </c>
      <c r="H22" s="21">
        <f>IF(D22=0,"—",IF(D22&lt;=E22,"✓ OK","⚠ Prüfen"))</f>
        <v/>
      </c>
    </row>
    <row r="23" ht="18" customHeight="1">
      <c r="A23" s="22" t="inlineStr">
        <is>
          <t>Sonstiges</t>
        </is>
      </c>
      <c r="B23" s="23">
        <f>IFERROR(INDEX('📈 Wochen'!$B$26:$J$26,1,'⚙️ Einstellungen'!$B$7),0)</f>
        <v/>
      </c>
      <c r="C23" s="24">
        <f>IFERROR(INDEX('📈 Wochen'!$B$37:$J$37,1,'⚙️ Einstellungen'!$B$7),0)</f>
        <v/>
      </c>
      <c r="D23" s="25">
        <f>B23+C23</f>
        <v/>
      </c>
      <c r="E23" s="23">
        <f>IFERROR(INDEX('📈 Wochen'!$B$15:$J$15,1,'⚙️ Einstellungen'!$B$7)*'⚙️ Einstellungen'!$B$23,0)</f>
        <v/>
      </c>
      <c r="F23" s="26">
        <f>IFERROR(D23-E23,0)</f>
        <v/>
      </c>
      <c r="G23" s="27">
        <f>IF('⚙️ Einstellungen'!$B$7&lt;=1,"—",IF(INDEX('📈 Wochen'!$B$26:$J$26,1,'⚙️ Einstellungen'!$B$7)+INDEX('📈 Wochen'!$B$37:$J$37,1,'⚙️ Einstellungen'!$B$7)&gt;INDEX('📈 Wochen'!$B$26:$J$26,1,'⚙️ Einstellungen'!$B$7-1)+INDEX('📈 Wochen'!$B$37:$J$37,1,'⚙️ Einstellungen'!$B$7-1),"↑ steigt",IF(INDEX('📈 Wochen'!$B$26:$J$26,1,'⚙️ Einstellungen'!$B$7)+INDEX('📈 Wochen'!$B$37:$J$37,1,'⚙️ Einstellungen'!$B$7)&lt;INDEX('📈 Wochen'!$B$26:$J$26,1,'⚙️ Einstellungen'!$B$7-1)+INDEX('📈 Wochen'!$B$37:$J$37,1,'⚙️ Einstellungen'!$B$7-1),"↓ fällt","= gleich")))</f>
        <v/>
      </c>
      <c r="H23" s="27">
        <f>IF(D23=0,"—",IF(D23&lt;=E23,"✓ OK","⚠ Prüfen"))</f>
        <v/>
      </c>
    </row>
    <row r="24" ht="20" customHeight="1">
      <c r="A24" s="28" t="inlineStr">
        <is>
          <t>GESAMT</t>
        </is>
      </c>
      <c r="B24" s="19">
        <f>SUM(B16:B23)</f>
        <v/>
      </c>
      <c r="C24" s="29">
        <f>SUM(C16:C23)</f>
        <v/>
      </c>
      <c r="D24" s="19">
        <f>SUM(D16:D23)</f>
        <v/>
      </c>
      <c r="E24" s="19">
        <f>SUM(E16:E23)</f>
        <v/>
      </c>
      <c r="F24" s="30">
        <f>SUM(F16:F23)</f>
        <v/>
      </c>
      <c r="G24" s="31" t="n"/>
      <c r="H24" s="31" t="n"/>
    </row>
    <row r="26" ht="16" customHeight="1">
      <c r="A26" s="32" t="inlineStr">
        <is>
          <t>💡 Schwund wird automatisch aus dem Inventar-Log übernommen. Trend vergleicht mit der Vorwoche.</t>
        </is>
      </c>
    </row>
    <row r="28">
      <c r="A28" s="33" t="inlineStr">
        <is>
          <t>LeSousChef · lesouschef.com · Dozo Tech · SYSTEMS THAT BREATHE</t>
        </is>
      </c>
    </row>
  </sheetData>
  <mergeCells count="23">
    <mergeCell ref="G8:H8"/>
    <mergeCell ref="A3:L3"/>
    <mergeCell ref="E8:F8"/>
    <mergeCell ref="A26:L26"/>
    <mergeCell ref="A2:L2"/>
    <mergeCell ref="A7:B7"/>
    <mergeCell ref="G7:H7"/>
    <mergeCell ref="I7:J7"/>
    <mergeCell ref="E12:H12"/>
    <mergeCell ref="A14:L14"/>
    <mergeCell ref="A11:D11"/>
    <mergeCell ref="I11:L11"/>
    <mergeCell ref="A10:L10"/>
    <mergeCell ref="I8:J8"/>
    <mergeCell ref="A8:B8"/>
    <mergeCell ref="C8:D8"/>
    <mergeCell ref="C7:D7"/>
    <mergeCell ref="E7:F7"/>
    <mergeCell ref="A12:D12"/>
    <mergeCell ref="I12:L12"/>
    <mergeCell ref="A28:H28"/>
    <mergeCell ref="A6:L6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2" customWidth="1" min="4" max="4"/>
    <col width="10" customWidth="1" min="5" max="5"/>
    <col width="10" customWidth="1" min="6" max="6"/>
  </cols>
  <sheetData>
    <row r="1">
      <c r="A1" s="34" t="inlineStr">
        <is>
          <t>RESTAURANT-EINSTELLUNGEN</t>
        </is>
      </c>
    </row>
    <row r="2">
      <c r="A2" s="3" t="n"/>
      <c r="B2" s="3" t="n"/>
      <c r="C2" s="3" t="n"/>
      <c r="D2" s="3" t="n"/>
      <c r="E2" s="3" t="n"/>
      <c r="F2" s="3" t="n"/>
    </row>
    <row r="4">
      <c r="A4" s="35" t="inlineStr">
        <is>
          <t>RESTAURANT-ANGABEN</t>
        </is>
      </c>
      <c r="D4" s="35" t="inlineStr">
        <is>
          <t>HAUPTKATEGORIEN</t>
        </is>
      </c>
    </row>
    <row r="5" ht="18" customHeight="1">
      <c r="A5" s="16" t="inlineStr">
        <is>
          <t>Restaurantname</t>
        </is>
      </c>
      <c r="B5" s="36" t="inlineStr">
        <is>
          <t>Mein Restaurant</t>
        </is>
      </c>
      <c r="D5" s="37" t="inlineStr">
        <is>
          <t>Liste für die Datenvalidierung in allen Blättern</t>
        </is>
      </c>
    </row>
    <row r="6" ht="18" customHeight="1">
      <c r="A6" s="16" t="inlineStr">
        <is>
          <t>Verantwortlich</t>
        </is>
      </c>
      <c r="B6" s="36" t="inlineStr"/>
      <c r="D6" s="16" t="inlineStr">
        <is>
          <t>Fleisch &amp; Geflügel</t>
        </is>
      </c>
    </row>
    <row r="7" ht="18" customHeight="1">
      <c r="A7" s="16" t="inlineStr">
        <is>
          <t>Aktive Woche (Nr. 1-9)</t>
        </is>
      </c>
      <c r="B7" s="36" t="n">
        <v>1</v>
      </c>
      <c r="D7" s="22" t="inlineStr">
        <is>
          <t>Fisch &amp; Meeresfrüchte</t>
        </is>
      </c>
    </row>
    <row r="8" ht="18" customHeight="1">
      <c r="A8" s="16" t="inlineStr">
        <is>
          <t>Jahr</t>
        </is>
      </c>
      <c r="B8" s="36" t="n">
        <v>2025</v>
      </c>
      <c r="D8" s="16" t="inlineStr">
        <is>
          <t>Obst &amp; Gemüse</t>
        </is>
      </c>
    </row>
    <row r="9" ht="20" customHeight="1">
      <c r="A9" s="38" t="inlineStr">
        <is>
          <t>GLOBALE EINSTELLUNGEN</t>
        </is>
      </c>
      <c r="D9" s="22" t="inlineStr">
        <is>
          <t>Milchprodukte &amp; Eier</t>
        </is>
      </c>
    </row>
    <row r="10">
      <c r="A10" s="28" t="inlineStr">
        <is>
          <t>Währung</t>
        </is>
      </c>
      <c r="B10" s="36" t="inlineStr">
        <is>
          <t>EUR</t>
        </is>
      </c>
      <c r="D10" s="16" t="inlineStr">
        <is>
          <t>Backwaren &amp; Konditorei</t>
        </is>
      </c>
    </row>
    <row r="11">
      <c r="A11" s="39" t="inlineStr">
        <is>
          <t>Maßsystem</t>
        </is>
      </c>
      <c r="B11" s="36" t="inlineStr">
        <is>
          <t>Metric</t>
        </is>
      </c>
      <c r="D11" s="22" t="inlineStr">
        <is>
          <t>Alkoholfreie Getränke</t>
        </is>
      </c>
    </row>
    <row r="12">
      <c r="A12" s="37" t="inlineStr">
        <is>
          <t>Währung und Maßsystem wählen. Wirkt auf alle Blätter.</t>
        </is>
      </c>
      <c r="D12" s="16" t="inlineStr">
        <is>
          <t>Trocken- &amp; Konservenware</t>
        </is>
      </c>
    </row>
    <row r="13">
      <c r="A13" s="28" t="inlineStr">
        <is>
          <t>GLOBALES Food-Cost-Ziel %</t>
        </is>
      </c>
      <c r="B13" s="40" t="n">
        <v>0.3</v>
      </c>
      <c r="D13" s="22" t="inlineStr">
        <is>
          <t>Sonstiges</t>
        </is>
      </c>
    </row>
    <row r="14" ht="20" customHeight="1">
      <c r="A14" s="35" t="inlineStr">
        <is>
          <t>FOOD-COST-ZIELE</t>
        </is>
      </c>
    </row>
    <row r="15">
      <c r="A15" s="15" t="inlineStr">
        <is>
          <t>Kategorie</t>
        </is>
      </c>
      <c r="B15" s="15" t="inlineStr">
        <is>
          <t>Ziel FC%</t>
        </is>
      </c>
    </row>
    <row r="16" ht="18" customHeight="1">
      <c r="A16" s="16" t="inlineStr">
        <is>
          <t>Fleisch &amp; Geflügel</t>
        </is>
      </c>
      <c r="B16" s="40" t="n">
        <v>0.35</v>
      </c>
      <c r="D16" s="38" t="inlineStr">
        <is>
          <t>NEU IN v4</t>
        </is>
      </c>
    </row>
    <row r="17" ht="14" customHeight="1">
      <c r="A17" s="22" t="inlineStr">
        <is>
          <t>Fisch &amp; Meeresfrüchte</t>
        </is>
      </c>
      <c r="B17" s="40" t="n">
        <v>0.38</v>
      </c>
      <c r="D17" s="41" t="inlineStr">
        <is>
          <t>✓ Globale Wahl von Währung und Maßsystem</t>
        </is>
      </c>
    </row>
    <row r="18" ht="14" customHeight="1">
      <c r="A18" s="16" t="inlineStr">
        <is>
          <t>Obst &amp; Gemüse</t>
        </is>
      </c>
      <c r="B18" s="40" t="n">
        <v>0.25</v>
      </c>
      <c r="D18" s="41" t="inlineStr">
        <is>
          <t>✓ Schwund beeinflusst automatisch Food-Cost %</t>
        </is>
      </c>
    </row>
    <row r="19" ht="14" customHeight="1">
      <c r="A19" s="22" t="inlineStr">
        <is>
          <t>Milchprodukte &amp; Eier</t>
        </is>
      </c>
      <c r="B19" s="40" t="n">
        <v>0.28</v>
      </c>
      <c r="D19" s="41" t="inlineStr">
        <is>
          <t>✓ Trend-Spalte (↑↓=) pro Kategorie</t>
        </is>
      </c>
    </row>
    <row r="20" ht="14" customHeight="1">
      <c r="A20" s="16" t="inlineStr">
        <is>
          <t>Backwaren &amp; Konditorei</t>
        </is>
      </c>
      <c r="B20" s="40" t="n">
        <v>0.3</v>
      </c>
      <c r="D20" s="41" t="inlineStr">
        <is>
          <t>✓ Alarm bei niedrigem Wochenumsatz</t>
        </is>
      </c>
    </row>
    <row r="21" ht="14" customHeight="1">
      <c r="A21" s="22" t="inlineStr">
        <is>
          <t>Alkoholfreie Getränke</t>
        </is>
      </c>
      <c r="B21" s="40" t="n">
        <v>0.2</v>
      </c>
      <c r="D21" s="41" t="inlineStr">
        <is>
          <t>✓ Alarm bei 3 Wochen über Ziel</t>
        </is>
      </c>
    </row>
    <row r="22" ht="14" customHeight="1">
      <c r="A22" s="16" t="inlineStr">
        <is>
          <t>Trocken- &amp; Konservenware</t>
        </is>
      </c>
      <c r="B22" s="40" t="n">
        <v>0.22</v>
      </c>
      <c r="D22" s="41" t="inlineStr">
        <is>
          <t>✓ Stückkosten per SVERWEIS Lieferanten → Inventar</t>
        </is>
      </c>
    </row>
    <row r="23" ht="14" customHeight="1">
      <c r="A23" s="22" t="inlineStr">
        <is>
          <t>Sonstiges</t>
        </is>
      </c>
      <c r="B23" s="40" t="n">
        <v>0.25</v>
      </c>
      <c r="D23" s="41" t="inlineStr">
        <is>
          <t>✓ Validierung der aktiven Woche (1-9)</t>
        </is>
      </c>
    </row>
    <row r="24" ht="14" customHeight="1">
      <c r="D24" s="41" t="inlineStr"/>
    </row>
    <row r="25" ht="14" customHeight="1">
      <c r="D25" s="41" t="inlineStr">
        <is>
          <t>NUTZUNGS-ABLAUF:</t>
        </is>
      </c>
    </row>
    <row r="26" ht="14" customHeight="1">
      <c r="A26" s="35" t="inlineStr">
        <is>
          <t>ALARM-SCHWELLEN</t>
        </is>
      </c>
      <c r="D26" s="41" t="inlineStr">
        <is>
          <t>1. Währung und Einheiten in B10-B11 wählen</t>
        </is>
      </c>
    </row>
    <row r="27" ht="14" customHeight="1">
      <c r="A27" s="37" t="inlineStr">
        <is>
          <t>Schwellen, die Alarme in der Übersicht auslösen</t>
        </is>
      </c>
      <c r="D27" s="41" t="inlineStr">
        <is>
          <t>2. Preise in "🏪 Lieferanten" eintragen</t>
        </is>
      </c>
    </row>
    <row r="28" ht="14" customHeight="1">
      <c r="A28" s="16" t="inlineStr">
        <is>
          <t>Mindestumsatz pro Woche</t>
        </is>
      </c>
      <c r="B28" s="42" t="n">
        <v>3000</v>
      </c>
      <c r="D28" s="41" t="inlineStr">
        <is>
          <t>3. Artikel + Bestand in "📦 Inventar" eintragen (Preis auto)</t>
        </is>
      </c>
    </row>
    <row r="29" ht="14" customHeight="1">
      <c r="A29" s="22" t="inlineStr">
        <is>
          <t>FC-Toleranz vor rotem Alarm</t>
        </is>
      </c>
      <c r="B29" s="40" t="n">
        <v>0.05</v>
      </c>
      <c r="D29" s="41" t="inlineStr">
        <is>
          <t>4. Umsatz und Einkäufe in "📈 Wochen" erfassen</t>
        </is>
      </c>
    </row>
    <row r="30" ht="14" customHeight="1">
      <c r="D30" s="41" t="inlineStr">
        <is>
          <t>5. Schwund im "📦 Inventar" protokollieren</t>
        </is>
      </c>
    </row>
    <row r="31" ht="14" customHeight="1">
      <c r="D31" s="41" t="inlineStr">
        <is>
          <t>6. Aktive Woche in B7 ändern → Übersicht aktualisiert sich</t>
        </is>
      </c>
    </row>
    <row r="32" ht="14" customHeight="1">
      <c r="D32" s="41" t="inlineStr"/>
    </row>
    <row r="33" ht="14" customHeight="1">
      <c r="D33" s="41" t="inlineStr">
        <is>
          <t>REFERENZ — TYPISCHE FC%-SPANNEN:</t>
        </is>
      </c>
    </row>
    <row r="34" ht="14" customHeight="1">
      <c r="D34" s="41" t="inlineStr">
        <is>
          <t>· Casual: 28–35%  · Fine Dining: 32–38%</t>
        </is>
      </c>
    </row>
    <row r="35" ht="14" customHeight="1">
      <c r="D35" s="41" t="inlineStr">
        <is>
          <t>· Fast Casual: 25–30%  · Café: 22–28%</t>
        </is>
      </c>
    </row>
    <row r="37">
      <c r="A37" s="33" t="inlineStr">
        <is>
          <t>LeSousChef · lesouschef.com · Dozo Tech · SYSTEMS THAT BREATHE</t>
        </is>
      </c>
    </row>
  </sheetData>
  <mergeCells count="27">
    <mergeCell ref="D27:F27"/>
    <mergeCell ref="A9:B9"/>
    <mergeCell ref="D32:F32"/>
    <mergeCell ref="D17:F17"/>
    <mergeCell ref="D16:F16"/>
    <mergeCell ref="D28:F28"/>
    <mergeCell ref="D4:F4"/>
    <mergeCell ref="D18:F18"/>
    <mergeCell ref="D30:F30"/>
    <mergeCell ref="D25:F25"/>
    <mergeCell ref="A37:H37"/>
    <mergeCell ref="D33:F33"/>
    <mergeCell ref="D24:F24"/>
    <mergeCell ref="A26:B26"/>
    <mergeCell ref="D29:F29"/>
    <mergeCell ref="D23:F23"/>
    <mergeCell ref="D35:F35"/>
    <mergeCell ref="A14:B14"/>
    <mergeCell ref="D26:F26"/>
    <mergeCell ref="D20:F20"/>
    <mergeCell ref="D34:F34"/>
    <mergeCell ref="A4:B4"/>
    <mergeCell ref="D19:F19"/>
    <mergeCell ref="D31:F31"/>
    <mergeCell ref="A1:F1"/>
    <mergeCell ref="D22:F22"/>
    <mergeCell ref="D21:F21"/>
  </mergeCells>
  <dataValidations count="3">
    <dataValidation sqref="B10" showDropDown="0" showInputMessage="0" showErrorMessage="1" allowBlank="0" errorTitle="Invalid currency" error="Pick from: USD, EUR, GBP, CHF, CAD, AUD, JPY" type="list">
      <formula1>"USD,EUR,GBP,CHF,CAD,AUD,JPY"</formula1>
    </dataValidation>
    <dataValidation sqref="B11" showDropDown="0" showInputMessage="0" showErrorMessage="1" allowBlank="0" errorTitle="Invalid units" error="Pick from: Metric, Imperial" type="list">
      <formula1>"Metric,Imperial"</formula1>
    </dataValidation>
    <dataValidation sqref="B7" showDropDown="0" showInputMessage="0" showErrorMessage="1" allowBlank="0" errorTitle="Out of range" error="Value must be between 1 and 9." type="whole" operator="between">
      <formula1>1</formula1>
      <formula2>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WÖCHENTLICHES FOOD-COST-LOG</t>
        </is>
      </c>
    </row>
    <row r="2">
      <c r="A2" s="43">
        <f>"Währung: "&amp;'⚙️ Einstellungen'!$B$10&amp;"  |  Maßsystem: "&amp;'⚙️ Einstellungen'!$B$11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15" t="inlineStr">
        <is>
          <t>Kennzahl</t>
        </is>
      </c>
      <c r="B4" s="15" t="inlineStr">
        <is>
          <t>Woche 1</t>
        </is>
      </c>
      <c r="C4" s="15" t="inlineStr">
        <is>
          <t>Woche 2</t>
        </is>
      </c>
      <c r="D4" s="15" t="inlineStr">
        <is>
          <t>Woche 3</t>
        </is>
      </c>
      <c r="E4" s="15" t="inlineStr">
        <is>
          <t>Woche 4</t>
        </is>
      </c>
      <c r="F4" s="15" t="inlineStr">
        <is>
          <t>Woche 5</t>
        </is>
      </c>
      <c r="G4" s="15" t="inlineStr">
        <is>
          <t>Woche 6</t>
        </is>
      </c>
      <c r="H4" s="15" t="inlineStr">
        <is>
          <t>Woche 7</t>
        </is>
      </c>
      <c r="I4" s="15" t="inlineStr">
        <is>
          <t>Woche 8</t>
        </is>
      </c>
      <c r="J4" s="15" t="inlineStr">
        <is>
          <t>Woche 9</t>
        </is>
      </c>
    </row>
    <row r="5">
      <c r="A5" s="21" t="inlineStr">
        <is>
          <t>Wochenbeginn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</row>
    <row r="6">
      <c r="A6" s="35" t="inlineStr">
        <is>
          <t>UMSATZ</t>
        </is>
      </c>
    </row>
    <row r="7" ht="18" customHeight="1">
      <c r="A7" s="28" t="inlineStr">
        <is>
          <t>Gesamter Nettoumsatz</t>
        </is>
      </c>
      <c r="B7" s="19">
        <f>SUM(B8:B15)</f>
        <v/>
      </c>
      <c r="C7" s="19">
        <f>SUM(C8:C15)</f>
        <v/>
      </c>
      <c r="D7" s="19">
        <f>SUM(D8:D15)</f>
        <v/>
      </c>
      <c r="E7" s="19">
        <f>SUM(E8:E15)</f>
        <v/>
      </c>
      <c r="F7" s="19">
        <f>SUM(F8:F15)</f>
        <v/>
      </c>
      <c r="G7" s="19">
        <f>SUM(G8:G15)</f>
        <v/>
      </c>
      <c r="H7" s="19">
        <f>SUM(H8:H15)</f>
        <v/>
      </c>
      <c r="I7" s="19">
        <f>SUM(I8:I15)</f>
        <v/>
      </c>
      <c r="J7" s="19">
        <f>SUM(J8:J15)</f>
        <v/>
      </c>
    </row>
    <row r="8" ht="18" customHeight="1">
      <c r="A8" s="16" t="inlineStr">
        <is>
          <t>Umsatz — Fleisch &amp; Geflügel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  <c r="G8" s="42" t="n">
        <v>0</v>
      </c>
      <c r="H8" s="42" t="n">
        <v>0</v>
      </c>
      <c r="I8" s="42" t="n">
        <v>0</v>
      </c>
      <c r="J8" s="42" t="n">
        <v>0</v>
      </c>
    </row>
    <row r="9" ht="18" customHeight="1">
      <c r="A9" s="16" t="inlineStr">
        <is>
          <t>Umsatz — Fisch &amp; Meeresfrüchte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0</v>
      </c>
    </row>
    <row r="10" ht="18" customHeight="1">
      <c r="A10" s="16" t="inlineStr">
        <is>
          <t>Umsatz — Obst &amp; Gemüse</t>
        </is>
      </c>
      <c r="B10" s="42" t="n">
        <v>0</v>
      </c>
      <c r="C10" s="42" t="n">
        <v>0</v>
      </c>
      <c r="D10" s="42" t="n">
        <v>0</v>
      </c>
      <c r="E10" s="42" t="n">
        <v>0</v>
      </c>
      <c r="F10" s="42" t="n">
        <v>0</v>
      </c>
      <c r="G10" s="42" t="n">
        <v>0</v>
      </c>
      <c r="H10" s="42" t="n">
        <v>0</v>
      </c>
      <c r="I10" s="42" t="n">
        <v>0</v>
      </c>
      <c r="J10" s="42" t="n">
        <v>0</v>
      </c>
    </row>
    <row r="11" ht="18" customHeight="1">
      <c r="A11" s="16" t="inlineStr">
        <is>
          <t>Umsatz — Milchprodukte &amp; Eier</t>
        </is>
      </c>
      <c r="B11" s="42" t="n">
        <v>0</v>
      </c>
      <c r="C11" s="42" t="n">
        <v>0</v>
      </c>
      <c r="D11" s="42" t="n">
        <v>0</v>
      </c>
      <c r="E11" s="42" t="n">
        <v>0</v>
      </c>
      <c r="F11" s="42" t="n">
        <v>0</v>
      </c>
      <c r="G11" s="42" t="n">
        <v>0</v>
      </c>
      <c r="H11" s="42" t="n">
        <v>0</v>
      </c>
      <c r="I11" s="42" t="n">
        <v>0</v>
      </c>
      <c r="J11" s="42" t="n">
        <v>0</v>
      </c>
    </row>
    <row r="12" ht="18" customHeight="1">
      <c r="A12" s="16" t="inlineStr">
        <is>
          <t>Umsatz — Backwaren &amp; Konditorei</t>
        </is>
      </c>
      <c r="B12" s="42" t="n">
        <v>0</v>
      </c>
      <c r="C12" s="42" t="n">
        <v>0</v>
      </c>
      <c r="D12" s="42" t="n">
        <v>0</v>
      </c>
      <c r="E12" s="42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42" t="n">
        <v>0</v>
      </c>
    </row>
    <row r="13" ht="18" customHeight="1">
      <c r="A13" s="16" t="inlineStr">
        <is>
          <t>Umsatz — Alkoholfreie Getränke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2" t="n">
        <v>0</v>
      </c>
      <c r="H13" s="42" t="n">
        <v>0</v>
      </c>
      <c r="I13" s="42" t="n">
        <v>0</v>
      </c>
      <c r="J13" s="42" t="n">
        <v>0</v>
      </c>
    </row>
    <row r="14" ht="18" customHeight="1">
      <c r="A14" s="16" t="inlineStr">
        <is>
          <t>Umsatz — Trocken- &amp; Konservenware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</row>
    <row r="15" ht="18" customHeight="1">
      <c r="A15" s="16" t="inlineStr">
        <is>
          <t>Umsatz — Sonstiges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2" t="n">
        <v>0</v>
      </c>
      <c r="H15" s="42" t="n">
        <v>0</v>
      </c>
      <c r="I15" s="42" t="n">
        <v>0</v>
      </c>
      <c r="J15" s="42" t="n">
        <v>0</v>
      </c>
    </row>
    <row r="17">
      <c r="A17" s="35" t="inlineStr">
        <is>
          <t>EINKÄUFE (vor Schwund)</t>
        </is>
      </c>
    </row>
    <row r="18" ht="18" customHeight="1">
      <c r="A18" s="28" t="inlineStr">
        <is>
          <t>Gesamteinkäufe</t>
        </is>
      </c>
      <c r="B18" s="19">
        <f>SUM(B19:B26)</f>
        <v/>
      </c>
      <c r="C18" s="19">
        <f>SUM(C19:C26)</f>
        <v/>
      </c>
      <c r="D18" s="19">
        <f>SUM(D19:D26)</f>
        <v/>
      </c>
      <c r="E18" s="19">
        <f>SUM(E19:E26)</f>
        <v/>
      </c>
      <c r="F18" s="19">
        <f>SUM(F19:F26)</f>
        <v/>
      </c>
      <c r="G18" s="19">
        <f>SUM(G19:G26)</f>
        <v/>
      </c>
      <c r="H18" s="19">
        <f>SUM(H19:H26)</f>
        <v/>
      </c>
      <c r="I18" s="19">
        <f>SUM(I19:I26)</f>
        <v/>
      </c>
      <c r="J18" s="19">
        <f>SUM(J19:J26)</f>
        <v/>
      </c>
    </row>
    <row r="19" ht="18" customHeight="1">
      <c r="A19" s="22" t="inlineStr">
        <is>
          <t>Einkäufe — Fleisch &amp; Geflügel</t>
        </is>
      </c>
      <c r="B19" s="42" t="n">
        <v>0</v>
      </c>
      <c r="C19" s="42" t="n">
        <v>0</v>
      </c>
      <c r="D19" s="42" t="n">
        <v>0</v>
      </c>
      <c r="E19" s="42" t="n">
        <v>0</v>
      </c>
      <c r="F19" s="42" t="n">
        <v>0</v>
      </c>
      <c r="G19" s="42" t="n">
        <v>0</v>
      </c>
      <c r="H19" s="42" t="n">
        <v>0</v>
      </c>
      <c r="I19" s="42" t="n">
        <v>0</v>
      </c>
      <c r="J19" s="42" t="n">
        <v>0</v>
      </c>
    </row>
    <row r="20" ht="18" customHeight="1">
      <c r="A20" s="22" t="inlineStr">
        <is>
          <t>Einkäufe — Fisch &amp; Meeresfrüchte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42" t="n">
        <v>0</v>
      </c>
    </row>
    <row r="21" ht="18" customHeight="1">
      <c r="A21" s="22" t="inlineStr">
        <is>
          <t>Einkäufe — Obst &amp; Gemüse</t>
        </is>
      </c>
      <c r="B21" s="42" t="n">
        <v>0</v>
      </c>
      <c r="C21" s="42" t="n">
        <v>0</v>
      </c>
      <c r="D21" s="42" t="n">
        <v>0</v>
      </c>
      <c r="E21" s="42" t="n">
        <v>0</v>
      </c>
      <c r="F21" s="42" t="n">
        <v>0</v>
      </c>
      <c r="G21" s="42" t="n">
        <v>0</v>
      </c>
      <c r="H21" s="42" t="n">
        <v>0</v>
      </c>
      <c r="I21" s="42" t="n">
        <v>0</v>
      </c>
      <c r="J21" s="42" t="n">
        <v>0</v>
      </c>
    </row>
    <row r="22" ht="18" customHeight="1">
      <c r="A22" s="22" t="inlineStr">
        <is>
          <t>Einkäufe — Milchprodukte &amp; Eier</t>
        </is>
      </c>
      <c r="B22" s="42" t="n">
        <v>0</v>
      </c>
      <c r="C22" s="42" t="n">
        <v>0</v>
      </c>
      <c r="D22" s="42" t="n">
        <v>0</v>
      </c>
      <c r="E22" s="42" t="n">
        <v>0</v>
      </c>
      <c r="F22" s="42" t="n">
        <v>0</v>
      </c>
      <c r="G22" s="42" t="n">
        <v>0</v>
      </c>
      <c r="H22" s="42" t="n">
        <v>0</v>
      </c>
      <c r="I22" s="42" t="n">
        <v>0</v>
      </c>
      <c r="J22" s="42" t="n">
        <v>0</v>
      </c>
    </row>
    <row r="23" ht="18" customHeight="1">
      <c r="A23" s="22" t="inlineStr">
        <is>
          <t>Einkäufe — Backwaren &amp; Konditorei</t>
        </is>
      </c>
      <c r="B23" s="42" t="n">
        <v>0</v>
      </c>
      <c r="C23" s="42" t="n">
        <v>0</v>
      </c>
      <c r="D23" s="42" t="n">
        <v>0</v>
      </c>
      <c r="E23" s="42" t="n">
        <v>0</v>
      </c>
      <c r="F23" s="42" t="n">
        <v>0</v>
      </c>
      <c r="G23" s="42" t="n">
        <v>0</v>
      </c>
      <c r="H23" s="42" t="n">
        <v>0</v>
      </c>
      <c r="I23" s="42" t="n">
        <v>0</v>
      </c>
      <c r="J23" s="42" t="n">
        <v>0</v>
      </c>
    </row>
    <row r="24" ht="18" customHeight="1">
      <c r="A24" s="22" t="inlineStr">
        <is>
          <t>Einkäufe — Alkoholfreie Getränke</t>
        </is>
      </c>
      <c r="B24" s="42" t="n">
        <v>0</v>
      </c>
      <c r="C24" s="42" t="n">
        <v>0</v>
      </c>
      <c r="D24" s="42" t="n">
        <v>0</v>
      </c>
      <c r="E24" s="42" t="n">
        <v>0</v>
      </c>
      <c r="F24" s="42" t="n">
        <v>0</v>
      </c>
      <c r="G24" s="42" t="n">
        <v>0</v>
      </c>
      <c r="H24" s="42" t="n">
        <v>0</v>
      </c>
      <c r="I24" s="42" t="n">
        <v>0</v>
      </c>
      <c r="J24" s="42" t="n">
        <v>0</v>
      </c>
    </row>
    <row r="25" ht="18" customHeight="1">
      <c r="A25" s="22" t="inlineStr">
        <is>
          <t>Einkäufe — Trocken- &amp; Konservenware</t>
        </is>
      </c>
      <c r="B25" s="42" t="n">
        <v>0</v>
      </c>
      <c r="C25" s="42" t="n">
        <v>0</v>
      </c>
      <c r="D25" s="42" t="n">
        <v>0</v>
      </c>
      <c r="E25" s="42" t="n">
        <v>0</v>
      </c>
      <c r="F25" s="42" t="n">
        <v>0</v>
      </c>
      <c r="G25" s="42" t="n">
        <v>0</v>
      </c>
      <c r="H25" s="42" t="n">
        <v>0</v>
      </c>
      <c r="I25" s="42" t="n">
        <v>0</v>
      </c>
      <c r="J25" s="42" t="n">
        <v>0</v>
      </c>
    </row>
    <row r="26" ht="18" customHeight="1">
      <c r="A26" s="22" t="inlineStr">
        <is>
          <t>Einkäufe — Sonstiges</t>
        </is>
      </c>
      <c r="B26" s="42" t="n">
        <v>0</v>
      </c>
      <c r="C26" s="42" t="n">
        <v>0</v>
      </c>
      <c r="D26" s="42" t="n">
        <v>0</v>
      </c>
      <c r="E26" s="42" t="n">
        <v>0</v>
      </c>
      <c r="F26" s="42" t="n">
        <v>0</v>
      </c>
      <c r="G26" s="42" t="n">
        <v>0</v>
      </c>
      <c r="H26" s="42" t="n">
        <v>0</v>
      </c>
      <c r="I26" s="42" t="n">
        <v>0</v>
      </c>
      <c r="J26" s="42" t="n">
        <v>0</v>
      </c>
    </row>
    <row r="28">
      <c r="A28" s="45" t="inlineStr">
        <is>
          <t>SCHWUND (auto aus Inventar)</t>
        </is>
      </c>
    </row>
    <row r="29">
      <c r="A29" s="46" t="inlineStr">
        <is>
          <t>Gesamtschwund</t>
        </is>
      </c>
      <c r="B29" s="47">
        <f>IFERROR(SUMIFS('📦 Inventar'!$G$30:$G$45,'📦 Inventar'!$A$30:$A$45,1),0)</f>
        <v/>
      </c>
      <c r="C29" s="47">
        <f>IFERROR(SUMIFS('📦 Inventar'!$G$30:$G$45,'📦 Inventar'!$A$30:$A$45,2),0)</f>
        <v/>
      </c>
      <c r="D29" s="47">
        <f>IFERROR(SUMIFS('📦 Inventar'!$G$30:$G$45,'📦 Inventar'!$A$30:$A$45,3),0)</f>
        <v/>
      </c>
      <c r="E29" s="47">
        <f>IFERROR(SUMIFS('📦 Inventar'!$G$30:$G$45,'📦 Inventar'!$A$30:$A$45,4),0)</f>
        <v/>
      </c>
      <c r="F29" s="47">
        <f>IFERROR(SUMIFS('📦 Inventar'!$G$30:$G$45,'📦 Inventar'!$A$30:$A$45,5),0)</f>
        <v/>
      </c>
      <c r="G29" s="47">
        <f>IFERROR(SUMIFS('📦 Inventar'!$G$30:$G$45,'📦 Inventar'!$A$30:$A$45,6),0)</f>
        <v/>
      </c>
      <c r="H29" s="47">
        <f>IFERROR(SUMIFS('📦 Inventar'!$G$30:$G$45,'📦 Inventar'!$A$30:$A$45,7),0)</f>
        <v/>
      </c>
      <c r="I29" s="47">
        <f>IFERROR(SUMIFS('📦 Inventar'!$G$30:$G$45,'📦 Inventar'!$A$30:$A$45,8),0)</f>
        <v/>
      </c>
      <c r="J29" s="47">
        <f>IFERROR(SUMIFS('📦 Inventar'!$G$30:$G$45,'📦 Inventar'!$A$30:$A$45,9),0)</f>
        <v/>
      </c>
    </row>
    <row r="30" ht="18" customHeight="1">
      <c r="A30" s="16" t="inlineStr">
        <is>
          <t>Schwund — Fleisch &amp; Geflügel</t>
        </is>
      </c>
      <c r="B30" s="18">
        <f>IFERROR(SUMIFS('📦 Inventar'!$G$30:$G$45,'📦 Inventar'!$A$30:$A$45,1,'📦 Inventar'!$C$30:$C$45,"Fleisch &amp; Geflügel"),0)</f>
        <v/>
      </c>
      <c r="C30" s="18">
        <f>IFERROR(SUMIFS('📦 Inventar'!$G$30:$G$45,'📦 Inventar'!$A$30:$A$45,2,'📦 Inventar'!$C$30:$C$45,"Fleisch &amp; Geflügel"),0)</f>
        <v/>
      </c>
      <c r="D30" s="18">
        <f>IFERROR(SUMIFS('📦 Inventar'!$G$30:$G$45,'📦 Inventar'!$A$30:$A$45,3,'📦 Inventar'!$C$30:$C$45,"Fleisch &amp; Geflügel"),0)</f>
        <v/>
      </c>
      <c r="E30" s="18">
        <f>IFERROR(SUMIFS('📦 Inventar'!$G$30:$G$45,'📦 Inventar'!$A$30:$A$45,4,'📦 Inventar'!$C$30:$C$45,"Fleisch &amp; Geflügel"),0)</f>
        <v/>
      </c>
      <c r="F30" s="18">
        <f>IFERROR(SUMIFS('📦 Inventar'!$G$30:$G$45,'📦 Inventar'!$A$30:$A$45,5,'📦 Inventar'!$C$30:$C$45,"Fleisch &amp; Geflügel"),0)</f>
        <v/>
      </c>
      <c r="G30" s="18">
        <f>IFERROR(SUMIFS('📦 Inventar'!$G$30:$G$45,'📦 Inventar'!$A$30:$A$45,6,'📦 Inventar'!$C$30:$C$45,"Fleisch &amp; Geflügel"),0)</f>
        <v/>
      </c>
      <c r="H30" s="18">
        <f>IFERROR(SUMIFS('📦 Inventar'!$G$30:$G$45,'📦 Inventar'!$A$30:$A$45,7,'📦 Inventar'!$C$30:$C$45,"Fleisch &amp; Geflügel"),0)</f>
        <v/>
      </c>
      <c r="I30" s="18">
        <f>IFERROR(SUMIFS('📦 Inventar'!$G$30:$G$45,'📦 Inventar'!$A$30:$A$45,8,'📦 Inventar'!$C$30:$C$45,"Fleisch &amp; Geflügel"),0)</f>
        <v/>
      </c>
      <c r="J30" s="18">
        <f>IFERROR(SUMIFS('📦 Inventar'!$G$30:$G$45,'📦 Inventar'!$A$30:$A$45,9,'📦 Inventar'!$C$30:$C$45,"Fleisch &amp; Geflügel"),0)</f>
        <v/>
      </c>
    </row>
    <row r="31" ht="18" customHeight="1">
      <c r="A31" s="22" t="inlineStr">
        <is>
          <t>Schwund — Fisch &amp; Meeresfrüchte</t>
        </is>
      </c>
      <c r="B31" s="24">
        <f>IFERROR(SUMIFS('📦 Inventar'!$G$30:$G$45,'📦 Inventar'!$A$30:$A$45,1,'📦 Inventar'!$C$30:$C$45,"Fisch &amp; Meeresfrüchte"),0)</f>
        <v/>
      </c>
      <c r="C31" s="24">
        <f>IFERROR(SUMIFS('📦 Inventar'!$G$30:$G$45,'📦 Inventar'!$A$30:$A$45,2,'📦 Inventar'!$C$30:$C$45,"Fisch &amp; Meeresfrüchte"),0)</f>
        <v/>
      </c>
      <c r="D31" s="24">
        <f>IFERROR(SUMIFS('📦 Inventar'!$G$30:$G$45,'📦 Inventar'!$A$30:$A$45,3,'📦 Inventar'!$C$30:$C$45,"Fisch &amp; Meeresfrüchte"),0)</f>
        <v/>
      </c>
      <c r="E31" s="24">
        <f>IFERROR(SUMIFS('📦 Inventar'!$G$30:$G$45,'📦 Inventar'!$A$30:$A$45,4,'📦 Inventar'!$C$30:$C$45,"Fisch &amp; Meeresfrüchte"),0)</f>
        <v/>
      </c>
      <c r="F31" s="24">
        <f>IFERROR(SUMIFS('📦 Inventar'!$G$30:$G$45,'📦 Inventar'!$A$30:$A$45,5,'📦 Inventar'!$C$30:$C$45,"Fisch &amp; Meeresfrüchte"),0)</f>
        <v/>
      </c>
      <c r="G31" s="24">
        <f>IFERROR(SUMIFS('📦 Inventar'!$G$30:$G$45,'📦 Inventar'!$A$30:$A$45,6,'📦 Inventar'!$C$30:$C$45,"Fisch &amp; Meeresfrüchte"),0)</f>
        <v/>
      </c>
      <c r="H31" s="24">
        <f>IFERROR(SUMIFS('📦 Inventar'!$G$30:$G$45,'📦 Inventar'!$A$30:$A$45,7,'📦 Inventar'!$C$30:$C$45,"Fisch &amp; Meeresfrüchte"),0)</f>
        <v/>
      </c>
      <c r="I31" s="24">
        <f>IFERROR(SUMIFS('📦 Inventar'!$G$30:$G$45,'📦 Inventar'!$A$30:$A$45,8,'📦 Inventar'!$C$30:$C$45,"Fisch &amp; Meeresfrüchte"),0)</f>
        <v/>
      </c>
      <c r="J31" s="24">
        <f>IFERROR(SUMIFS('📦 Inventar'!$G$30:$G$45,'📦 Inventar'!$A$30:$A$45,9,'📦 Inventar'!$C$30:$C$45,"Fisch &amp; Meeresfrüchte"),0)</f>
        <v/>
      </c>
    </row>
    <row r="32" ht="18" customHeight="1">
      <c r="A32" s="16" t="inlineStr">
        <is>
          <t>Schwund — Obst &amp; Gemüse</t>
        </is>
      </c>
      <c r="B32" s="18">
        <f>IFERROR(SUMIFS('📦 Inventar'!$G$30:$G$45,'📦 Inventar'!$A$30:$A$45,1,'📦 Inventar'!$C$30:$C$45,"Obst &amp; Gemüse"),0)</f>
        <v/>
      </c>
      <c r="C32" s="18">
        <f>IFERROR(SUMIFS('📦 Inventar'!$G$30:$G$45,'📦 Inventar'!$A$30:$A$45,2,'📦 Inventar'!$C$30:$C$45,"Obst &amp; Gemüse"),0)</f>
        <v/>
      </c>
      <c r="D32" s="18">
        <f>IFERROR(SUMIFS('📦 Inventar'!$G$30:$G$45,'📦 Inventar'!$A$30:$A$45,3,'📦 Inventar'!$C$30:$C$45,"Obst &amp; Gemüse"),0)</f>
        <v/>
      </c>
      <c r="E32" s="18">
        <f>IFERROR(SUMIFS('📦 Inventar'!$G$30:$G$45,'📦 Inventar'!$A$30:$A$45,4,'📦 Inventar'!$C$30:$C$45,"Obst &amp; Gemüse"),0)</f>
        <v/>
      </c>
      <c r="F32" s="18">
        <f>IFERROR(SUMIFS('📦 Inventar'!$G$30:$G$45,'📦 Inventar'!$A$30:$A$45,5,'📦 Inventar'!$C$30:$C$45,"Obst &amp; Gemüse"),0)</f>
        <v/>
      </c>
      <c r="G32" s="18">
        <f>IFERROR(SUMIFS('📦 Inventar'!$G$30:$G$45,'📦 Inventar'!$A$30:$A$45,6,'📦 Inventar'!$C$30:$C$45,"Obst &amp; Gemüse"),0)</f>
        <v/>
      </c>
      <c r="H32" s="18">
        <f>IFERROR(SUMIFS('📦 Inventar'!$G$30:$G$45,'📦 Inventar'!$A$30:$A$45,7,'📦 Inventar'!$C$30:$C$45,"Obst &amp; Gemüse"),0)</f>
        <v/>
      </c>
      <c r="I32" s="18">
        <f>IFERROR(SUMIFS('📦 Inventar'!$G$30:$G$45,'📦 Inventar'!$A$30:$A$45,8,'📦 Inventar'!$C$30:$C$45,"Obst &amp; Gemüse"),0)</f>
        <v/>
      </c>
      <c r="J32" s="18">
        <f>IFERROR(SUMIFS('📦 Inventar'!$G$30:$G$45,'📦 Inventar'!$A$30:$A$45,9,'📦 Inventar'!$C$30:$C$45,"Obst &amp; Gemüse"),0)</f>
        <v/>
      </c>
    </row>
    <row r="33" ht="18" customHeight="1">
      <c r="A33" s="22" t="inlineStr">
        <is>
          <t>Schwund — Milchprodukte &amp; Eier</t>
        </is>
      </c>
      <c r="B33" s="24">
        <f>IFERROR(SUMIFS('📦 Inventar'!$G$30:$G$45,'📦 Inventar'!$A$30:$A$45,1,'📦 Inventar'!$C$30:$C$45,"Milchprodukte &amp; Eier"),0)</f>
        <v/>
      </c>
      <c r="C33" s="24">
        <f>IFERROR(SUMIFS('📦 Inventar'!$G$30:$G$45,'📦 Inventar'!$A$30:$A$45,2,'📦 Inventar'!$C$30:$C$45,"Milchprodukte &amp; Eier"),0)</f>
        <v/>
      </c>
      <c r="D33" s="24">
        <f>IFERROR(SUMIFS('📦 Inventar'!$G$30:$G$45,'📦 Inventar'!$A$30:$A$45,3,'📦 Inventar'!$C$30:$C$45,"Milchprodukte &amp; Eier"),0)</f>
        <v/>
      </c>
      <c r="E33" s="24">
        <f>IFERROR(SUMIFS('📦 Inventar'!$G$30:$G$45,'📦 Inventar'!$A$30:$A$45,4,'📦 Inventar'!$C$30:$C$45,"Milchprodukte &amp; Eier"),0)</f>
        <v/>
      </c>
      <c r="F33" s="24">
        <f>IFERROR(SUMIFS('📦 Inventar'!$G$30:$G$45,'📦 Inventar'!$A$30:$A$45,5,'📦 Inventar'!$C$30:$C$45,"Milchprodukte &amp; Eier"),0)</f>
        <v/>
      </c>
      <c r="G33" s="24">
        <f>IFERROR(SUMIFS('📦 Inventar'!$G$30:$G$45,'📦 Inventar'!$A$30:$A$45,6,'📦 Inventar'!$C$30:$C$45,"Milchprodukte &amp; Eier"),0)</f>
        <v/>
      </c>
      <c r="H33" s="24">
        <f>IFERROR(SUMIFS('📦 Inventar'!$G$30:$G$45,'📦 Inventar'!$A$30:$A$45,7,'📦 Inventar'!$C$30:$C$45,"Milchprodukte &amp; Eier"),0)</f>
        <v/>
      </c>
      <c r="I33" s="24">
        <f>IFERROR(SUMIFS('📦 Inventar'!$G$30:$G$45,'📦 Inventar'!$A$30:$A$45,8,'📦 Inventar'!$C$30:$C$45,"Milchprodukte &amp; Eier"),0)</f>
        <v/>
      </c>
      <c r="J33" s="24">
        <f>IFERROR(SUMIFS('📦 Inventar'!$G$30:$G$45,'📦 Inventar'!$A$30:$A$45,9,'📦 Inventar'!$C$30:$C$45,"Milchprodukte &amp; Eier"),0)</f>
        <v/>
      </c>
    </row>
    <row r="34" ht="18" customHeight="1">
      <c r="A34" s="16" t="inlineStr">
        <is>
          <t>Schwund — Backwaren &amp; Konditorei</t>
        </is>
      </c>
      <c r="B34" s="18">
        <f>IFERROR(SUMIFS('📦 Inventar'!$G$30:$G$45,'📦 Inventar'!$A$30:$A$45,1,'📦 Inventar'!$C$30:$C$45,"Backwaren &amp; Konditorei"),0)</f>
        <v/>
      </c>
      <c r="C34" s="18">
        <f>IFERROR(SUMIFS('📦 Inventar'!$G$30:$G$45,'📦 Inventar'!$A$30:$A$45,2,'📦 Inventar'!$C$30:$C$45,"Backwaren &amp; Konditorei"),0)</f>
        <v/>
      </c>
      <c r="D34" s="18">
        <f>IFERROR(SUMIFS('📦 Inventar'!$G$30:$G$45,'📦 Inventar'!$A$30:$A$45,3,'📦 Inventar'!$C$30:$C$45,"Backwaren &amp; Konditorei"),0)</f>
        <v/>
      </c>
      <c r="E34" s="18">
        <f>IFERROR(SUMIFS('📦 Inventar'!$G$30:$G$45,'📦 Inventar'!$A$30:$A$45,4,'📦 Inventar'!$C$30:$C$45,"Backwaren &amp; Konditorei"),0)</f>
        <v/>
      </c>
      <c r="F34" s="18">
        <f>IFERROR(SUMIFS('📦 Inventar'!$G$30:$G$45,'📦 Inventar'!$A$30:$A$45,5,'📦 Inventar'!$C$30:$C$45,"Backwaren &amp; Konditorei"),0)</f>
        <v/>
      </c>
      <c r="G34" s="18">
        <f>IFERROR(SUMIFS('📦 Inventar'!$G$30:$G$45,'📦 Inventar'!$A$30:$A$45,6,'📦 Inventar'!$C$30:$C$45,"Backwaren &amp; Konditorei"),0)</f>
        <v/>
      </c>
      <c r="H34" s="18">
        <f>IFERROR(SUMIFS('📦 Inventar'!$G$30:$G$45,'📦 Inventar'!$A$30:$A$45,7,'📦 Inventar'!$C$30:$C$45,"Backwaren &amp; Konditorei"),0)</f>
        <v/>
      </c>
      <c r="I34" s="18">
        <f>IFERROR(SUMIFS('📦 Inventar'!$G$30:$G$45,'📦 Inventar'!$A$30:$A$45,8,'📦 Inventar'!$C$30:$C$45,"Backwaren &amp; Konditorei"),0)</f>
        <v/>
      </c>
      <c r="J34" s="18">
        <f>IFERROR(SUMIFS('📦 Inventar'!$G$30:$G$45,'📦 Inventar'!$A$30:$A$45,9,'📦 Inventar'!$C$30:$C$45,"Backwaren &amp; Konditorei"),0)</f>
        <v/>
      </c>
    </row>
    <row r="35" ht="18" customHeight="1">
      <c r="A35" s="22" t="inlineStr">
        <is>
          <t>Schwund — Alkoholfreie Getränke</t>
        </is>
      </c>
      <c r="B35" s="24">
        <f>IFERROR(SUMIFS('📦 Inventar'!$G$30:$G$45,'📦 Inventar'!$A$30:$A$45,1,'📦 Inventar'!$C$30:$C$45,"Alkoholfreie Getränke"),0)</f>
        <v/>
      </c>
      <c r="C35" s="24">
        <f>IFERROR(SUMIFS('📦 Inventar'!$G$30:$G$45,'📦 Inventar'!$A$30:$A$45,2,'📦 Inventar'!$C$30:$C$45,"Alkoholfreie Getränke"),0)</f>
        <v/>
      </c>
      <c r="D35" s="24">
        <f>IFERROR(SUMIFS('📦 Inventar'!$G$30:$G$45,'📦 Inventar'!$A$30:$A$45,3,'📦 Inventar'!$C$30:$C$45,"Alkoholfreie Getränke"),0)</f>
        <v/>
      </c>
      <c r="E35" s="24">
        <f>IFERROR(SUMIFS('📦 Inventar'!$G$30:$G$45,'📦 Inventar'!$A$30:$A$45,4,'📦 Inventar'!$C$30:$C$45,"Alkoholfreie Getränke"),0)</f>
        <v/>
      </c>
      <c r="F35" s="24">
        <f>IFERROR(SUMIFS('📦 Inventar'!$G$30:$G$45,'📦 Inventar'!$A$30:$A$45,5,'📦 Inventar'!$C$30:$C$45,"Alkoholfreie Getränke"),0)</f>
        <v/>
      </c>
      <c r="G35" s="24">
        <f>IFERROR(SUMIFS('📦 Inventar'!$G$30:$G$45,'📦 Inventar'!$A$30:$A$45,6,'📦 Inventar'!$C$30:$C$45,"Alkoholfreie Getränke"),0)</f>
        <v/>
      </c>
      <c r="H35" s="24">
        <f>IFERROR(SUMIFS('📦 Inventar'!$G$30:$G$45,'📦 Inventar'!$A$30:$A$45,7,'📦 Inventar'!$C$30:$C$45,"Alkoholfreie Getränke"),0)</f>
        <v/>
      </c>
      <c r="I35" s="24">
        <f>IFERROR(SUMIFS('📦 Inventar'!$G$30:$G$45,'📦 Inventar'!$A$30:$A$45,8,'📦 Inventar'!$C$30:$C$45,"Alkoholfreie Getränke"),0)</f>
        <v/>
      </c>
      <c r="J35" s="24">
        <f>IFERROR(SUMIFS('📦 Inventar'!$G$30:$G$45,'📦 Inventar'!$A$30:$A$45,9,'📦 Inventar'!$C$30:$C$45,"Alkoholfreie Getränke"),0)</f>
        <v/>
      </c>
    </row>
    <row r="36" ht="18" customHeight="1">
      <c r="A36" s="16" t="inlineStr">
        <is>
          <t>Schwund — Trocken- &amp; Konservenware</t>
        </is>
      </c>
      <c r="B36" s="18">
        <f>IFERROR(SUMIFS('📦 Inventar'!$G$30:$G$45,'📦 Inventar'!$A$30:$A$45,1,'📦 Inventar'!$C$30:$C$45,"Trocken- &amp; Konservenware"),0)</f>
        <v/>
      </c>
      <c r="C36" s="18">
        <f>IFERROR(SUMIFS('📦 Inventar'!$G$30:$G$45,'📦 Inventar'!$A$30:$A$45,2,'📦 Inventar'!$C$30:$C$45,"Trocken- &amp; Konservenware"),0)</f>
        <v/>
      </c>
      <c r="D36" s="18">
        <f>IFERROR(SUMIFS('📦 Inventar'!$G$30:$G$45,'📦 Inventar'!$A$30:$A$45,3,'📦 Inventar'!$C$30:$C$45,"Trocken- &amp; Konservenware"),0)</f>
        <v/>
      </c>
      <c r="E36" s="18">
        <f>IFERROR(SUMIFS('📦 Inventar'!$G$30:$G$45,'📦 Inventar'!$A$30:$A$45,4,'📦 Inventar'!$C$30:$C$45,"Trocken- &amp; Konservenware"),0)</f>
        <v/>
      </c>
      <c r="F36" s="18">
        <f>IFERROR(SUMIFS('📦 Inventar'!$G$30:$G$45,'📦 Inventar'!$A$30:$A$45,5,'📦 Inventar'!$C$30:$C$45,"Trocken- &amp; Konservenware"),0)</f>
        <v/>
      </c>
      <c r="G36" s="18">
        <f>IFERROR(SUMIFS('📦 Inventar'!$G$30:$G$45,'📦 Inventar'!$A$30:$A$45,6,'📦 Inventar'!$C$30:$C$45,"Trocken- &amp; Konservenware"),0)</f>
        <v/>
      </c>
      <c r="H36" s="18">
        <f>IFERROR(SUMIFS('📦 Inventar'!$G$30:$G$45,'📦 Inventar'!$A$30:$A$45,7,'📦 Inventar'!$C$30:$C$45,"Trocken- &amp; Konservenware"),0)</f>
        <v/>
      </c>
      <c r="I36" s="18">
        <f>IFERROR(SUMIFS('📦 Inventar'!$G$30:$G$45,'📦 Inventar'!$A$30:$A$45,8,'📦 Inventar'!$C$30:$C$45,"Trocken- &amp; Konservenware"),0)</f>
        <v/>
      </c>
      <c r="J36" s="18">
        <f>IFERROR(SUMIFS('📦 Inventar'!$G$30:$G$45,'📦 Inventar'!$A$30:$A$45,9,'📦 Inventar'!$C$30:$C$45,"Trocken- &amp; Konservenware"),0)</f>
        <v/>
      </c>
    </row>
    <row r="37" ht="18" customHeight="1">
      <c r="A37" s="22" t="inlineStr">
        <is>
          <t>Schwund — Sonstiges</t>
        </is>
      </c>
      <c r="B37" s="24">
        <f>IFERROR(SUMIFS('📦 Inventar'!$G$30:$G$45,'📦 Inventar'!$A$30:$A$45,1,'📦 Inventar'!$C$30:$C$45,"Sonstiges"),0)</f>
        <v/>
      </c>
      <c r="C37" s="24">
        <f>IFERROR(SUMIFS('📦 Inventar'!$G$30:$G$45,'📦 Inventar'!$A$30:$A$45,2,'📦 Inventar'!$C$30:$C$45,"Sonstiges"),0)</f>
        <v/>
      </c>
      <c r="D37" s="24">
        <f>IFERROR(SUMIFS('📦 Inventar'!$G$30:$G$45,'📦 Inventar'!$A$30:$A$45,3,'📦 Inventar'!$C$30:$C$45,"Sonstiges"),0)</f>
        <v/>
      </c>
      <c r="E37" s="24">
        <f>IFERROR(SUMIFS('📦 Inventar'!$G$30:$G$45,'📦 Inventar'!$A$30:$A$45,4,'📦 Inventar'!$C$30:$C$45,"Sonstiges"),0)</f>
        <v/>
      </c>
      <c r="F37" s="24">
        <f>IFERROR(SUMIFS('📦 Inventar'!$G$30:$G$45,'📦 Inventar'!$A$30:$A$45,5,'📦 Inventar'!$C$30:$C$45,"Sonstiges"),0)</f>
        <v/>
      </c>
      <c r="G37" s="24">
        <f>IFERROR(SUMIFS('📦 Inventar'!$G$30:$G$45,'📦 Inventar'!$A$30:$A$45,6,'📦 Inventar'!$C$30:$C$45,"Sonstiges"),0)</f>
        <v/>
      </c>
      <c r="H37" s="24">
        <f>IFERROR(SUMIFS('📦 Inventar'!$G$30:$G$45,'📦 Inventar'!$A$30:$A$45,7,'📦 Inventar'!$C$30:$C$45,"Sonstiges"),0)</f>
        <v/>
      </c>
      <c r="I37" s="24">
        <f>IFERROR(SUMIFS('📦 Inventar'!$G$30:$G$45,'📦 Inventar'!$A$30:$A$45,8,'📦 Inventar'!$C$30:$C$45,"Sonstiges"),0)</f>
        <v/>
      </c>
      <c r="J37" s="24">
        <f>IFERROR(SUMIFS('📦 Inventar'!$G$30:$G$45,'📦 Inventar'!$A$30:$A$45,9,'📦 Inventar'!$C$30:$C$45,"Sonstiges"),0)</f>
        <v/>
      </c>
    </row>
    <row r="39">
      <c r="A39" s="38" t="inlineStr">
        <is>
          <t>GESAMTKOSTEN (Einkäufe + Schwund)</t>
        </is>
      </c>
    </row>
    <row r="40">
      <c r="A40" s="48" t="inlineStr">
        <is>
          <t>Gesamte Lebensmittelkosten</t>
        </is>
      </c>
      <c r="B40" s="49">
        <f>B18+B29</f>
        <v/>
      </c>
      <c r="C40" s="49">
        <f>C18+C29</f>
        <v/>
      </c>
      <c r="D40" s="49">
        <f>D18+D29</f>
        <v/>
      </c>
      <c r="E40" s="49">
        <f>E18+E29</f>
        <v/>
      </c>
      <c r="F40" s="49">
        <f>F18+F29</f>
        <v/>
      </c>
      <c r="G40" s="49">
        <f>G18+G29</f>
        <v/>
      </c>
      <c r="H40" s="49">
        <f>H18+H29</f>
        <v/>
      </c>
      <c r="I40" s="49">
        <f>I18+I29</f>
        <v/>
      </c>
      <c r="J40" s="49">
        <f>J18+J29</f>
        <v/>
      </c>
    </row>
    <row r="42">
      <c r="A42" s="35" t="inlineStr">
        <is>
          <t>KENNZAHLEN</t>
        </is>
      </c>
    </row>
    <row r="43">
      <c r="A43" s="28" t="inlineStr">
        <is>
          <t>Food-Cost % Global</t>
        </is>
      </c>
      <c r="B43" s="50">
        <f>IFERROR(B40/B7,0)</f>
        <v/>
      </c>
      <c r="C43" s="50">
        <f>IFERROR(C40/C7,0)</f>
        <v/>
      </c>
      <c r="D43" s="50">
        <f>IFERROR(D40/D7,0)</f>
        <v/>
      </c>
      <c r="E43" s="50">
        <f>IFERROR(E40/E7,0)</f>
        <v/>
      </c>
      <c r="F43" s="50">
        <f>IFERROR(F40/F7,0)</f>
        <v/>
      </c>
      <c r="G43" s="50">
        <f>IFERROR(G40/G7,0)</f>
        <v/>
      </c>
      <c r="H43" s="50">
        <f>IFERROR(H40/H7,0)</f>
        <v/>
      </c>
      <c r="I43" s="50">
        <f>IFERROR(I40/I7,0)</f>
        <v/>
      </c>
      <c r="J43" s="50">
        <f>IFERROR(J40/J7,0)</f>
        <v/>
      </c>
    </row>
    <row r="44" ht="18" customHeight="1">
      <c r="A44" s="16" t="inlineStr">
        <is>
          <t>FC% Fleisch &amp; Geflügel</t>
        </is>
      </c>
      <c r="B44" s="51">
        <f>IFERROR((B19+B30)/B8,0)</f>
        <v/>
      </c>
      <c r="C44" s="51">
        <f>IFERROR((C19+C30)/C8,0)</f>
        <v/>
      </c>
      <c r="D44" s="51">
        <f>IFERROR((D19+D30)/D8,0)</f>
        <v/>
      </c>
      <c r="E44" s="51">
        <f>IFERROR((E19+E30)/E8,0)</f>
        <v/>
      </c>
      <c r="F44" s="51">
        <f>IFERROR((F19+F30)/F8,0)</f>
        <v/>
      </c>
      <c r="G44" s="51">
        <f>IFERROR((G19+G30)/G8,0)</f>
        <v/>
      </c>
      <c r="H44" s="51">
        <f>IFERROR((H19+H30)/H8,0)</f>
        <v/>
      </c>
      <c r="I44" s="51">
        <f>IFERROR((I19+I30)/I8,0)</f>
        <v/>
      </c>
      <c r="J44" s="51">
        <f>IFERROR((J19+J30)/J8,0)</f>
        <v/>
      </c>
    </row>
    <row r="45" ht="18" customHeight="1">
      <c r="A45" s="22" t="inlineStr">
        <is>
          <t>FC% Fisch &amp; Meeresfrüchte</t>
        </is>
      </c>
      <c r="B45" s="52">
        <f>IFERROR((B20+B31)/B9,0)</f>
        <v/>
      </c>
      <c r="C45" s="52">
        <f>IFERROR((C20+C31)/C9,0)</f>
        <v/>
      </c>
      <c r="D45" s="52">
        <f>IFERROR((D20+D31)/D9,0)</f>
        <v/>
      </c>
      <c r="E45" s="52">
        <f>IFERROR((E20+E31)/E9,0)</f>
        <v/>
      </c>
      <c r="F45" s="52">
        <f>IFERROR((F20+F31)/F9,0)</f>
        <v/>
      </c>
      <c r="G45" s="52">
        <f>IFERROR((G20+G31)/G9,0)</f>
        <v/>
      </c>
      <c r="H45" s="52">
        <f>IFERROR((H20+H31)/H9,0)</f>
        <v/>
      </c>
      <c r="I45" s="52">
        <f>IFERROR((I20+I31)/I9,0)</f>
        <v/>
      </c>
      <c r="J45" s="52">
        <f>IFERROR((J20+J31)/J9,0)</f>
        <v/>
      </c>
    </row>
    <row r="46" ht="18" customHeight="1">
      <c r="A46" s="16" t="inlineStr">
        <is>
          <t>FC% Obst &amp; Gemüse</t>
        </is>
      </c>
      <c r="B46" s="51">
        <f>IFERROR((B21+B32)/B10,0)</f>
        <v/>
      </c>
      <c r="C46" s="51">
        <f>IFERROR((C21+C32)/C10,0)</f>
        <v/>
      </c>
      <c r="D46" s="51">
        <f>IFERROR((D21+D32)/D10,0)</f>
        <v/>
      </c>
      <c r="E46" s="51">
        <f>IFERROR((E21+E32)/E10,0)</f>
        <v/>
      </c>
      <c r="F46" s="51">
        <f>IFERROR((F21+F32)/F10,0)</f>
        <v/>
      </c>
      <c r="G46" s="51">
        <f>IFERROR((G21+G32)/G10,0)</f>
        <v/>
      </c>
      <c r="H46" s="51">
        <f>IFERROR((H21+H32)/H10,0)</f>
        <v/>
      </c>
      <c r="I46" s="51">
        <f>IFERROR((I21+I32)/I10,0)</f>
        <v/>
      </c>
      <c r="J46" s="51">
        <f>IFERROR((J21+J32)/J10,0)</f>
        <v/>
      </c>
    </row>
    <row r="47" ht="18" customHeight="1">
      <c r="A47" s="22" t="inlineStr">
        <is>
          <t>FC% Milchprodukte &amp; Eier</t>
        </is>
      </c>
      <c r="B47" s="52">
        <f>IFERROR((B22+B33)/B11,0)</f>
        <v/>
      </c>
      <c r="C47" s="52">
        <f>IFERROR((C22+C33)/C11,0)</f>
        <v/>
      </c>
      <c r="D47" s="52">
        <f>IFERROR((D22+D33)/D11,0)</f>
        <v/>
      </c>
      <c r="E47" s="52">
        <f>IFERROR((E22+E33)/E11,0)</f>
        <v/>
      </c>
      <c r="F47" s="52">
        <f>IFERROR((F22+F33)/F11,0)</f>
        <v/>
      </c>
      <c r="G47" s="52">
        <f>IFERROR((G22+G33)/G11,0)</f>
        <v/>
      </c>
      <c r="H47" s="52">
        <f>IFERROR((H22+H33)/H11,0)</f>
        <v/>
      </c>
      <c r="I47" s="52">
        <f>IFERROR((I22+I33)/I11,0)</f>
        <v/>
      </c>
      <c r="J47" s="52">
        <f>IFERROR((J22+J33)/J11,0)</f>
        <v/>
      </c>
    </row>
    <row r="48" ht="18" customHeight="1">
      <c r="A48" s="16" t="inlineStr">
        <is>
          <t>FC% Backwaren &amp; Konditorei</t>
        </is>
      </c>
      <c r="B48" s="51">
        <f>IFERROR((B23+B34)/B12,0)</f>
        <v/>
      </c>
      <c r="C48" s="51">
        <f>IFERROR((C23+C34)/C12,0)</f>
        <v/>
      </c>
      <c r="D48" s="51">
        <f>IFERROR((D23+D34)/D12,0)</f>
        <v/>
      </c>
      <c r="E48" s="51">
        <f>IFERROR((E23+E34)/E12,0)</f>
        <v/>
      </c>
      <c r="F48" s="51">
        <f>IFERROR((F23+F34)/F12,0)</f>
        <v/>
      </c>
      <c r="G48" s="51">
        <f>IFERROR((G23+G34)/G12,0)</f>
        <v/>
      </c>
      <c r="H48" s="51">
        <f>IFERROR((H23+H34)/H12,0)</f>
        <v/>
      </c>
      <c r="I48" s="51">
        <f>IFERROR((I23+I34)/I12,0)</f>
        <v/>
      </c>
      <c r="J48" s="51">
        <f>IFERROR((J23+J34)/J12,0)</f>
        <v/>
      </c>
    </row>
    <row r="49" ht="18" customHeight="1">
      <c r="A49" s="22" t="inlineStr">
        <is>
          <t>FC% Alkoholfreie Getränke</t>
        </is>
      </c>
      <c r="B49" s="52">
        <f>IFERROR((B24+B35)/B13,0)</f>
        <v/>
      </c>
      <c r="C49" s="52">
        <f>IFERROR((C24+C35)/C13,0)</f>
        <v/>
      </c>
      <c r="D49" s="52">
        <f>IFERROR((D24+D35)/D13,0)</f>
        <v/>
      </c>
      <c r="E49" s="52">
        <f>IFERROR((E24+E35)/E13,0)</f>
        <v/>
      </c>
      <c r="F49" s="52">
        <f>IFERROR((F24+F35)/F13,0)</f>
        <v/>
      </c>
      <c r="G49" s="52">
        <f>IFERROR((G24+G35)/G13,0)</f>
        <v/>
      </c>
      <c r="H49" s="52">
        <f>IFERROR((H24+H35)/H13,0)</f>
        <v/>
      </c>
      <c r="I49" s="52">
        <f>IFERROR((I24+I35)/I13,0)</f>
        <v/>
      </c>
      <c r="J49" s="52">
        <f>IFERROR((J24+J35)/J13,0)</f>
        <v/>
      </c>
    </row>
    <row r="50" ht="18" customHeight="1">
      <c r="A50" s="16" t="inlineStr">
        <is>
          <t>FC% Trocken- &amp; Konservenware</t>
        </is>
      </c>
      <c r="B50" s="51">
        <f>IFERROR((B25+B36)/B14,0)</f>
        <v/>
      </c>
      <c r="C50" s="51">
        <f>IFERROR((C25+C36)/C14,0)</f>
        <v/>
      </c>
      <c r="D50" s="51">
        <f>IFERROR((D25+D36)/D14,0)</f>
        <v/>
      </c>
      <c r="E50" s="51">
        <f>IFERROR((E25+E36)/E14,0)</f>
        <v/>
      </c>
      <c r="F50" s="51">
        <f>IFERROR((F25+F36)/F14,0)</f>
        <v/>
      </c>
      <c r="G50" s="51">
        <f>IFERROR((G25+G36)/G14,0)</f>
        <v/>
      </c>
      <c r="H50" s="51">
        <f>IFERROR((H25+H36)/H14,0)</f>
        <v/>
      </c>
      <c r="I50" s="51">
        <f>IFERROR((I25+I36)/I14,0)</f>
        <v/>
      </c>
      <c r="J50" s="51">
        <f>IFERROR((J25+J36)/J14,0)</f>
        <v/>
      </c>
    </row>
    <row r="51" ht="18" customHeight="1">
      <c r="A51" s="22" t="inlineStr">
        <is>
          <t>FC% Sonstiges</t>
        </is>
      </c>
      <c r="B51" s="52">
        <f>IFERROR((B26+B37)/B15,0)</f>
        <v/>
      </c>
      <c r="C51" s="52">
        <f>IFERROR((C26+C37)/C15,0)</f>
        <v/>
      </c>
      <c r="D51" s="52">
        <f>IFERROR((D26+D37)/D15,0)</f>
        <v/>
      </c>
      <c r="E51" s="52">
        <f>IFERROR((E26+E37)/E15,0)</f>
        <v/>
      </c>
      <c r="F51" s="52">
        <f>IFERROR((F26+F37)/F15,0)</f>
        <v/>
      </c>
      <c r="G51" s="52">
        <f>IFERROR((G26+G37)/G15,0)</f>
        <v/>
      </c>
      <c r="H51" s="52">
        <f>IFERROR((H26+H37)/H15,0)</f>
        <v/>
      </c>
      <c r="I51" s="52">
        <f>IFERROR((I26+I37)/I15,0)</f>
        <v/>
      </c>
      <c r="J51" s="52">
        <f>IFERROR((J26+J37)/J15,0)</f>
        <v/>
      </c>
    </row>
    <row r="52">
      <c r="A52" s="28" t="inlineStr">
        <is>
          <t>Bruttomarge</t>
        </is>
      </c>
      <c r="B52" s="19">
        <f>IFERROR(B7-B40,0)</f>
        <v/>
      </c>
      <c r="C52" s="19">
        <f>IFERROR(C7-C40,0)</f>
        <v/>
      </c>
      <c r="D52" s="19">
        <f>IFERROR(D7-D40,0)</f>
        <v/>
      </c>
      <c r="E52" s="19">
        <f>IFERROR(E7-E40,0)</f>
        <v/>
      </c>
      <c r="F52" s="19">
        <f>IFERROR(F7-F40,0)</f>
        <v/>
      </c>
      <c r="G52" s="19">
        <f>IFERROR(G7-G40,0)</f>
        <v/>
      </c>
      <c r="H52" s="19">
        <f>IFERROR(H7-H40,0)</f>
        <v/>
      </c>
      <c r="I52" s="19">
        <f>IFERROR(I7-I40,0)</f>
        <v/>
      </c>
      <c r="J52" s="19">
        <f>IFERROR(J7-J40,0)</f>
        <v/>
      </c>
    </row>
    <row r="53">
      <c r="A53" s="28" t="inlineStr">
        <is>
          <t>Bruttomarge %</t>
        </is>
      </c>
      <c r="B53" s="53">
        <f>IFERROR((B7-B40)/B7,0)</f>
        <v/>
      </c>
      <c r="C53" s="53">
        <f>IFERROR((C7-C40)/C7,0)</f>
        <v/>
      </c>
      <c r="D53" s="53">
        <f>IFERROR((D7-D40)/D7,0)</f>
        <v/>
      </c>
      <c r="E53" s="53">
        <f>IFERROR((E7-E40)/E7,0)</f>
        <v/>
      </c>
      <c r="F53" s="53">
        <f>IFERROR((F7-F40)/F7,0)</f>
        <v/>
      </c>
      <c r="G53" s="53">
        <f>IFERROR((G7-G40)/G7,0)</f>
        <v/>
      </c>
      <c r="H53" s="53">
        <f>IFERROR((H7-H40)/H7,0)</f>
        <v/>
      </c>
      <c r="I53" s="53">
        <f>IFERROR((I7-I40)/I7,0)</f>
        <v/>
      </c>
      <c r="J53" s="53">
        <f>IFERROR((J7-J40)/J7,0)</f>
        <v/>
      </c>
    </row>
    <row r="55">
      <c r="A55" s="33" t="inlineStr">
        <is>
          <t>LeSousChef · lesouschef.com · Dozo Tech · SYSTEMS THAT BREATHE</t>
        </is>
      </c>
    </row>
  </sheetData>
  <mergeCells count="8">
    <mergeCell ref="A1:J1"/>
    <mergeCell ref="A55:H55"/>
    <mergeCell ref="A6:J6"/>
    <mergeCell ref="A17:J17"/>
    <mergeCell ref="A42:J42"/>
    <mergeCell ref="A39:J39"/>
    <mergeCell ref="A2:J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4" t="inlineStr">
        <is>
          <t>INVENTAR- UND SCHWUND-KONTROLLE</t>
        </is>
      </c>
    </row>
    <row r="2">
      <c r="A2" s="43">
        <f>"Währung: "&amp;'⚙️ Einstellungen'!$B$10&amp;"  |  Maßsystem: "&amp;'⚙️ Einstellungen'!$B$11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4" t="inlineStr">
        <is>
          <t>Stückkosten werden automatisch aus Lieferanten per SVERWEIS geholt. Schwund beeinflusst die wöchentlichen Food-Cost.</t>
        </is>
      </c>
    </row>
    <row r="5">
      <c r="A5" s="15" t="inlineStr">
        <is>
          <t>Artikel</t>
        </is>
      </c>
      <c r="B5" s="15" t="inlineStr">
        <is>
          <t>Kategorie</t>
        </is>
      </c>
      <c r="C5" s="15" t="inlineStr">
        <is>
          <t>Einheit</t>
        </is>
      </c>
      <c r="D5" s="15" t="inlineStr">
        <is>
          <t>Anfangsbestand</t>
        </is>
      </c>
      <c r="E5" s="15" t="inlineStr">
        <is>
          <t>Einkäufe</t>
        </is>
      </c>
      <c r="F5" s="15" t="inlineStr">
        <is>
          <t>Endbestand</t>
        </is>
      </c>
      <c r="G5" s="15" t="inlineStr">
        <is>
          <t>Verbrauch</t>
        </is>
      </c>
      <c r="H5" s="15">
        <f>"Stückkosten ("&amp;'⚙️ Einstellungen'!$B$10&amp;")"</f>
        <v/>
      </c>
      <c r="I5" s="15">
        <f>"Gesamtkosten ("&amp;'⚙️ Einstellungen'!$B$10&amp;")"</f>
        <v/>
      </c>
    </row>
    <row r="6" ht="18" customHeight="1">
      <c r="A6" s="16" t="inlineStr">
        <is>
          <t>Entrecôte</t>
        </is>
      </c>
      <c r="B6" s="16" t="inlineStr">
        <is>
          <t>Fleisch &amp; Geflügel</t>
        </is>
      </c>
      <c r="C6" s="21" t="inlineStr">
        <is>
          <t>kg</t>
        </is>
      </c>
      <c r="D6" s="42" t="n">
        <v>5</v>
      </c>
      <c r="E6" s="42" t="n">
        <v>20</v>
      </c>
      <c r="F6" s="42" t="n">
        <v>3.5</v>
      </c>
      <c r="G6" s="17">
        <f>IFERROR(IF(D6="","",D6+E6-F6),"")</f>
        <v/>
      </c>
      <c r="H6" s="55">
        <f>IFERROR(VLOOKUP(A6,'🏪 Lieferanten'!$A$6:$E$20,5,FALSE),0)</f>
        <v/>
      </c>
      <c r="I6" s="17">
        <f>IFERROR(IF(G6="","",G6*H6),"")</f>
        <v/>
      </c>
    </row>
    <row r="7" ht="18" customHeight="1">
      <c r="A7" s="22" t="inlineStr">
        <is>
          <t>Ganzes Hähnchen</t>
        </is>
      </c>
      <c r="B7" s="22" t="inlineStr">
        <is>
          <t>Fleisch &amp; Geflügel</t>
        </is>
      </c>
      <c r="C7" s="27" t="inlineStr">
        <is>
          <t>kg</t>
        </is>
      </c>
      <c r="D7" s="42" t="n">
        <v>8</v>
      </c>
      <c r="E7" s="42" t="n">
        <v>15</v>
      </c>
      <c r="F7" s="42" t="n">
        <v>4</v>
      </c>
      <c r="G7" s="23">
        <f>IFERROR(IF(D7="","",D7+E7-F7),"")</f>
        <v/>
      </c>
      <c r="H7" s="56">
        <f>IFERROR(VLOOKUP(A7,'🏪 Lieferanten'!$A$6:$E$20,5,FALSE),0)</f>
        <v/>
      </c>
      <c r="I7" s="23">
        <f>IFERROR(IF(G7="","",G7*H7),"")</f>
        <v/>
      </c>
    </row>
    <row r="8" ht="18" customHeight="1">
      <c r="A8" s="16" t="inlineStr">
        <is>
          <t>Frischer Lachs</t>
        </is>
      </c>
      <c r="B8" s="16" t="inlineStr">
        <is>
          <t>Fisch &amp; Meeresfrüchte</t>
        </is>
      </c>
      <c r="C8" s="21" t="inlineStr">
        <is>
          <t>kg</t>
        </is>
      </c>
      <c r="D8" s="42" t="n">
        <v>3</v>
      </c>
      <c r="E8" s="42" t="n">
        <v>8</v>
      </c>
      <c r="F8" s="42" t="n">
        <v>1.5</v>
      </c>
      <c r="G8" s="17">
        <f>IFERROR(IF(D8="","",D8+E8-F8),"")</f>
        <v/>
      </c>
      <c r="H8" s="55">
        <f>IFERROR(VLOOKUP(A8,'🏪 Lieferanten'!$A$6:$E$20,5,FALSE),0)</f>
        <v/>
      </c>
      <c r="I8" s="17">
        <f>IFERROR(IF(G8="","",G8*H8),"")</f>
        <v/>
      </c>
    </row>
    <row r="9" ht="18" customHeight="1">
      <c r="A9" s="22" t="inlineStr">
        <is>
          <t>Kirschtomaten</t>
        </is>
      </c>
      <c r="B9" s="22" t="inlineStr">
        <is>
          <t>Obst &amp; Gemüse</t>
        </is>
      </c>
      <c r="C9" s="27" t="inlineStr">
        <is>
          <t>kg</t>
        </is>
      </c>
      <c r="D9" s="42" t="n">
        <v>10</v>
      </c>
      <c r="E9" s="42" t="n">
        <v>25</v>
      </c>
      <c r="F9" s="42" t="n">
        <v>6</v>
      </c>
      <c r="G9" s="23">
        <f>IFERROR(IF(D9="","",D9+E9-F9),"")</f>
        <v/>
      </c>
      <c r="H9" s="56">
        <f>IFERROR(VLOOKUP(A9,'🏪 Lieferanten'!$A$6:$E$20,5,FALSE),0)</f>
        <v/>
      </c>
      <c r="I9" s="23">
        <f>IFERROR(IF(G9="","",G9*H9),"")</f>
        <v/>
      </c>
    </row>
    <row r="10" ht="18" customHeight="1">
      <c r="A10" s="16" t="inlineStr">
        <is>
          <t>Kartoffeln</t>
        </is>
      </c>
      <c r="B10" s="16" t="inlineStr">
        <is>
          <t>Obst &amp; Gemüse</t>
        </is>
      </c>
      <c r="C10" s="21" t="inlineStr">
        <is>
          <t>kg</t>
        </is>
      </c>
      <c r="D10" s="42" t="n">
        <v>20</v>
      </c>
      <c r="E10" s="42" t="n">
        <v>40</v>
      </c>
      <c r="F10" s="42" t="n">
        <v>12</v>
      </c>
      <c r="G10" s="17">
        <f>IFERROR(IF(D10="","",D10+E10-F10),"")</f>
        <v/>
      </c>
      <c r="H10" s="55">
        <f>IFERROR(VLOOKUP(A10,'🏪 Lieferanten'!$A$6:$E$20,5,FALSE),0)</f>
        <v/>
      </c>
      <c r="I10" s="17">
        <f>IFERROR(IF(G10="","",G10*H10),"")</f>
        <v/>
      </c>
    </row>
    <row r="11" ht="18" customHeight="1">
      <c r="A11" s="22" t="inlineStr">
        <is>
          <t>Manchego-Käse</t>
        </is>
      </c>
      <c r="B11" s="22" t="inlineStr">
        <is>
          <t>Milchprodukte &amp; Eier</t>
        </is>
      </c>
      <c r="C11" s="27" t="inlineStr">
        <is>
          <t>kg</t>
        </is>
      </c>
      <c r="D11" s="42" t="n">
        <v>2</v>
      </c>
      <c r="E11" s="42" t="n">
        <v>5</v>
      </c>
      <c r="F11" s="42" t="n">
        <v>1</v>
      </c>
      <c r="G11" s="23">
        <f>IFERROR(IF(D11="","",D11+E11-F11),"")</f>
        <v/>
      </c>
      <c r="H11" s="56">
        <f>IFERROR(VLOOKUP(A11,'🏪 Lieferanten'!$A$6:$E$20,5,FALSE),0)</f>
        <v/>
      </c>
      <c r="I11" s="23">
        <f>IFERROR(IF(G11="","",G11*H11),"")</f>
        <v/>
      </c>
    </row>
    <row r="12" ht="18" customHeight="1">
      <c r="A12" s="16" t="inlineStr">
        <is>
          <t>Freilandeier L</t>
        </is>
      </c>
      <c r="B12" s="16" t="inlineStr">
        <is>
          <t>Milchprodukte &amp; Eier</t>
        </is>
      </c>
      <c r="C12" s="21" t="inlineStr">
        <is>
          <t>Dutzend</t>
        </is>
      </c>
      <c r="D12" s="42" t="n">
        <v>4</v>
      </c>
      <c r="E12" s="42" t="n">
        <v>12</v>
      </c>
      <c r="F12" s="42" t="n">
        <v>2</v>
      </c>
      <c r="G12" s="17">
        <f>IFERROR(IF(D12="","",D12+E12-F12),"")</f>
        <v/>
      </c>
      <c r="H12" s="55">
        <f>IFERROR(VLOOKUP(A12,'🏪 Lieferanten'!$A$6:$E$20,5,FALSE),0)</f>
        <v/>
      </c>
      <c r="I12" s="17">
        <f>IFERROR(IF(G12="","",G12*H12),"")</f>
        <v/>
      </c>
    </row>
    <row r="13" ht="18" customHeight="1">
      <c r="A13" s="22" t="inlineStr">
        <is>
          <t>Weizenmehl Type 550</t>
        </is>
      </c>
      <c r="B13" s="22" t="inlineStr">
        <is>
          <t>Backwaren &amp; Konditorei</t>
        </is>
      </c>
      <c r="C13" s="27" t="inlineStr">
        <is>
          <t>kg</t>
        </is>
      </c>
      <c r="D13" s="42" t="n">
        <v>10</v>
      </c>
      <c r="E13" s="42" t="n">
        <v>20</v>
      </c>
      <c r="F13" s="42" t="n">
        <v>5</v>
      </c>
      <c r="G13" s="23">
        <f>IFERROR(IF(D13="","",D13+E13-F13),"")</f>
        <v/>
      </c>
      <c r="H13" s="56">
        <f>IFERROR(VLOOKUP(A13,'🏪 Lieferanten'!$A$6:$E$20,5,FALSE),0)</f>
        <v/>
      </c>
      <c r="I13" s="23">
        <f>IFERROR(IF(G13="","",G13*H13),"")</f>
        <v/>
      </c>
    </row>
    <row r="14" ht="18" customHeight="1">
      <c r="A14" s="16" t="inlineStr">
        <is>
          <t>Mineralwasser 1.5L</t>
        </is>
      </c>
      <c r="B14" s="16" t="inlineStr">
        <is>
          <t>Alkoholfreie Getränke</t>
        </is>
      </c>
      <c r="C14" s="21" t="inlineStr">
        <is>
          <t>Kiste 12St</t>
        </is>
      </c>
      <c r="D14" s="42" t="n">
        <v>4</v>
      </c>
      <c r="E14" s="42" t="n">
        <v>16</v>
      </c>
      <c r="F14" s="42" t="n">
        <v>3</v>
      </c>
      <c r="G14" s="17">
        <f>IFERROR(IF(D14="","",D14+E14-F14),"")</f>
        <v/>
      </c>
      <c r="H14" s="55">
        <f>IFERROR(VLOOKUP(A14,'🏪 Lieferanten'!$A$6:$E$20,5,FALSE),0)</f>
        <v/>
      </c>
      <c r="I14" s="17">
        <f>IFERROR(IF(G14="","",G14*H14),"")</f>
        <v/>
      </c>
    </row>
    <row r="15" ht="18" customHeight="1">
      <c r="A15" s="22" t="inlineStr">
        <is>
          <t>Natives Olivenöl extra</t>
        </is>
      </c>
      <c r="B15" s="22" t="inlineStr">
        <is>
          <t>Trocken- &amp; Konservenware</t>
        </is>
      </c>
      <c r="C15" s="27" t="inlineStr">
        <is>
          <t>Liter</t>
        </is>
      </c>
      <c r="D15" s="42" t="n">
        <v>5</v>
      </c>
      <c r="E15" s="42" t="n">
        <v>10</v>
      </c>
      <c r="F15" s="42" t="n">
        <v>3</v>
      </c>
      <c r="G15" s="23">
        <f>IFERROR(IF(D15="","",D15+E15-F15),"")</f>
        <v/>
      </c>
      <c r="H15" s="56">
        <f>IFERROR(VLOOKUP(A15,'🏪 Lieferanten'!$A$6:$E$20,5,FALSE),0)</f>
        <v/>
      </c>
      <c r="I15" s="23">
        <f>IFERROR(IF(G15="","",G15*H15),"")</f>
        <v/>
      </c>
    </row>
    <row r="16" ht="18" customHeight="1">
      <c r="A16" s="16" t="inlineStr"/>
      <c r="B16" s="16" t="inlineStr"/>
      <c r="C16" s="21" t="inlineStr"/>
      <c r="D16" s="42" t="n"/>
      <c r="E16" s="42" t="n"/>
      <c r="F16" s="42" t="n"/>
      <c r="G16" s="17">
        <f>IFERROR(IF(D16="","",D16+E16-F16),"")</f>
        <v/>
      </c>
      <c r="H16" s="55">
        <f>IFERROR(VLOOKUP(A16,'🏪 Lieferanten'!$A$6:$E$20,5,FALSE),0)</f>
        <v/>
      </c>
      <c r="I16" s="17">
        <f>IFERROR(IF(G16="","",G16*H16),"")</f>
        <v/>
      </c>
    </row>
    <row r="17" ht="18" customHeight="1">
      <c r="A17" s="22" t="inlineStr"/>
      <c r="B17" s="22" t="inlineStr"/>
      <c r="C17" s="27" t="inlineStr"/>
      <c r="D17" s="42" t="n"/>
      <c r="E17" s="42" t="n"/>
      <c r="F17" s="42" t="n"/>
      <c r="G17" s="23">
        <f>IFERROR(IF(D17="","",D17+E17-F17),"")</f>
        <v/>
      </c>
      <c r="H17" s="56">
        <f>IFERROR(VLOOKUP(A17,'🏪 Lieferanten'!$A$6:$E$20,5,FALSE),0)</f>
        <v/>
      </c>
      <c r="I17" s="23">
        <f>IFERROR(IF(G17="","",G17*H17),"")</f>
        <v/>
      </c>
    </row>
    <row r="18" ht="18" customHeight="1">
      <c r="A18" s="16" t="inlineStr"/>
      <c r="B18" s="16" t="inlineStr"/>
      <c r="C18" s="21" t="inlineStr"/>
      <c r="D18" s="42" t="n"/>
      <c r="E18" s="42" t="n"/>
      <c r="F18" s="42" t="n"/>
      <c r="G18" s="17">
        <f>IFERROR(IF(D18="","",D18+E18-F18),"")</f>
        <v/>
      </c>
      <c r="H18" s="55">
        <f>IFERROR(VLOOKUP(A18,'🏪 Lieferanten'!$A$6:$E$20,5,FALSE),0)</f>
        <v/>
      </c>
      <c r="I18" s="17">
        <f>IFERROR(IF(G18="","",G18*H18),"")</f>
        <v/>
      </c>
    </row>
    <row r="19" ht="18" customHeight="1">
      <c r="A19" s="22" t="inlineStr"/>
      <c r="B19" s="22" t="inlineStr"/>
      <c r="C19" s="27" t="inlineStr"/>
      <c r="D19" s="42" t="n"/>
      <c r="E19" s="42" t="n"/>
      <c r="F19" s="42" t="n"/>
      <c r="G19" s="23">
        <f>IFERROR(IF(D19="","",D19+E19-F19),"")</f>
        <v/>
      </c>
      <c r="H19" s="56">
        <f>IFERROR(VLOOKUP(A19,'🏪 Lieferanten'!$A$6:$E$20,5,FALSE),0)</f>
        <v/>
      </c>
      <c r="I19" s="23">
        <f>IFERROR(IF(G19="","",G19*H19),"")</f>
        <v/>
      </c>
    </row>
    <row r="20" ht="18" customHeight="1">
      <c r="A20" s="16" t="inlineStr"/>
      <c r="B20" s="16" t="inlineStr"/>
      <c r="C20" s="21" t="inlineStr"/>
      <c r="D20" s="42" t="n"/>
      <c r="E20" s="42" t="n"/>
      <c r="F20" s="42" t="n"/>
      <c r="G20" s="17">
        <f>IFERROR(IF(D20="","",D20+E20-F20),"")</f>
        <v/>
      </c>
      <c r="H20" s="55">
        <f>IFERROR(VLOOKUP(A20,'🏪 Lieferanten'!$A$6:$E$20,5,FALSE),0)</f>
        <v/>
      </c>
      <c r="I20" s="17">
        <f>IFERROR(IF(G20="","",G20*H20),"")</f>
        <v/>
      </c>
    </row>
    <row r="21" ht="18" customHeight="1">
      <c r="A21" s="22" t="inlineStr"/>
      <c r="B21" s="22" t="inlineStr"/>
      <c r="C21" s="27" t="inlineStr"/>
      <c r="D21" s="42" t="n"/>
      <c r="E21" s="42" t="n"/>
      <c r="F21" s="42" t="n"/>
      <c r="G21" s="23">
        <f>IFERROR(IF(D21="","",D21+E21-F21),"")</f>
        <v/>
      </c>
      <c r="H21" s="56">
        <f>IFERROR(VLOOKUP(A21,'🏪 Lieferanten'!$A$6:$E$20,5,FALSE),0)</f>
        <v/>
      </c>
      <c r="I21" s="23">
        <f>IFERROR(IF(G21="","",G21*H21),"")</f>
        <v/>
      </c>
    </row>
    <row r="22" ht="18" customHeight="1">
      <c r="A22" s="16" t="inlineStr"/>
      <c r="B22" s="16" t="inlineStr"/>
      <c r="C22" s="21" t="inlineStr"/>
      <c r="D22" s="42" t="n"/>
      <c r="E22" s="42" t="n"/>
      <c r="F22" s="42" t="n"/>
      <c r="G22" s="17">
        <f>IFERROR(IF(D22="","",D22+E22-F22),"")</f>
        <v/>
      </c>
      <c r="H22" s="55">
        <f>IFERROR(VLOOKUP(A22,'🏪 Lieferanten'!$A$6:$E$20,5,FALSE),0)</f>
        <v/>
      </c>
      <c r="I22" s="17">
        <f>IFERROR(IF(G22="","",G22*H22),"")</f>
        <v/>
      </c>
    </row>
    <row r="23" ht="18" customHeight="1">
      <c r="A23" s="22" t="inlineStr"/>
      <c r="B23" s="22" t="inlineStr"/>
      <c r="C23" s="27" t="inlineStr"/>
      <c r="D23" s="42" t="n"/>
      <c r="E23" s="42" t="n"/>
      <c r="F23" s="42" t="n"/>
      <c r="G23" s="23">
        <f>IFERROR(IF(D23="","",D23+E23-F23),"")</f>
        <v/>
      </c>
      <c r="H23" s="56">
        <f>IFERROR(VLOOKUP(A23,'🏪 Lieferanten'!$A$6:$E$20,5,FALSE),0)</f>
        <v/>
      </c>
      <c r="I23" s="23">
        <f>IFERROR(IF(G23="","",G23*H23),"")</f>
        <v/>
      </c>
    </row>
    <row r="24" ht="18" customHeight="1">
      <c r="A24" s="16" t="inlineStr"/>
      <c r="B24" s="16" t="inlineStr"/>
      <c r="C24" s="21" t="inlineStr"/>
      <c r="D24" s="42" t="n"/>
      <c r="E24" s="42" t="n"/>
      <c r="F24" s="42" t="n"/>
      <c r="G24" s="17">
        <f>IFERROR(IF(D24="","",D24+E24-F24),"")</f>
        <v/>
      </c>
      <c r="H24" s="55">
        <f>IFERROR(VLOOKUP(A24,'🏪 Lieferanten'!$A$6:$E$20,5,FALSE),0)</f>
        <v/>
      </c>
      <c r="I24" s="17">
        <f>IFERROR(IF(G24="","",G24*H24),"")</f>
        <v/>
      </c>
    </row>
    <row r="25" ht="18" customHeight="1">
      <c r="A25" s="22" t="inlineStr"/>
      <c r="B25" s="22" t="inlineStr"/>
      <c r="C25" s="27" t="inlineStr"/>
      <c r="D25" s="42" t="n"/>
      <c r="E25" s="42" t="n"/>
      <c r="F25" s="42" t="n"/>
      <c r="G25" s="23">
        <f>IFERROR(IF(D25="","",D25+E25-F25),"")</f>
        <v/>
      </c>
      <c r="H25" s="56">
        <f>IFERROR(VLOOKUP(A25,'🏪 Lieferanten'!$A$6:$E$20,5,FALSE),0)</f>
        <v/>
      </c>
      <c r="I25" s="23">
        <f>IFERROR(IF(G25="","",G25*H25),"")</f>
        <v/>
      </c>
    </row>
    <row r="26" ht="22" customHeight="1">
      <c r="A26" s="28" t="inlineStr">
        <is>
          <t>GESAMTKOSTEN INVENTAR</t>
        </is>
      </c>
      <c r="B26" s="31" t="n"/>
      <c r="C26" s="31" t="n"/>
      <c r="D26" s="31" t="n"/>
      <c r="E26" s="31" t="n"/>
      <c r="F26" s="31" t="n"/>
      <c r="G26" s="31" t="n"/>
      <c r="H26" s="31" t="n"/>
      <c r="I26" s="57">
        <f>IFERROR(SUMIF(I6:I25,"&gt;0"),0)</f>
        <v/>
      </c>
    </row>
    <row r="28">
      <c r="A28" s="58" t="inlineStr">
        <is>
          <t>SCHWUND-PROTOKOLL — BEEINFLUSST WÖCHENTLICHE FOOD-COST</t>
        </is>
      </c>
    </row>
    <row r="29">
      <c r="A29" s="59" t="inlineStr">
        <is>
          <t>Woche</t>
        </is>
      </c>
      <c r="B29" s="59" t="inlineStr">
        <is>
          <t>Artikel</t>
        </is>
      </c>
      <c r="C29" s="59" t="inlineStr">
        <is>
          <t>Kategorie</t>
        </is>
      </c>
      <c r="D29" s="59" t="inlineStr">
        <is>
          <t>Menge</t>
        </is>
      </c>
      <c r="E29" s="59" t="inlineStr">
        <is>
          <t>Einheit</t>
        </is>
      </c>
      <c r="F29" s="59">
        <f>"Stückkosten ("&amp;'⚙️ Einstellungen'!$B$10&amp;")"</f>
        <v/>
      </c>
      <c r="G29" s="59">
        <f>"Schwundkosten ("&amp;'⚙️ Einstellungen'!$B$10&amp;")"</f>
        <v/>
      </c>
      <c r="H29" s="59" t="inlineStr">
        <is>
          <t>Ursache</t>
        </is>
      </c>
      <c r="I29" s="59" t="inlineStr">
        <is>
          <t>Datum</t>
        </is>
      </c>
      <c r="J29" s="59" t="inlineStr">
        <is>
          <t>Schicht</t>
        </is>
      </c>
      <c r="K29" s="59" t="inlineStr">
        <is>
          <t>Mitarbeiter</t>
        </is>
      </c>
    </row>
    <row r="30" ht="18" customHeight="1">
      <c r="A30" s="60" t="n">
        <v>4</v>
      </c>
      <c r="B30" s="16" t="inlineStr">
        <is>
          <t>Frischer Lachs</t>
        </is>
      </c>
      <c r="C30" s="16" t="inlineStr">
        <is>
          <t>Fisch &amp; Meeresfrüchte</t>
        </is>
      </c>
      <c r="D30" s="42" t="n">
        <v>2</v>
      </c>
      <c r="E30" s="21" t="inlineStr">
        <is>
          <t>kg</t>
        </is>
      </c>
      <c r="F30" s="55">
        <f>IFERROR(VLOOKUP(B30,'🏪 Lieferanten'!$A$6:$E$20,5,FALSE),0)</f>
        <v/>
      </c>
      <c r="G30" s="29">
        <f>IFERROR(IF(D30="","",D30*F30),0)</f>
        <v/>
      </c>
      <c r="H30" s="16" t="inlineStr">
        <is>
          <t>Kühler defekt</t>
        </is>
      </c>
      <c r="I30" s="21" t="inlineStr">
        <is>
          <t>15.04.2025</t>
        </is>
      </c>
      <c r="J30" s="21" t="inlineStr">
        <is>
          <t>Abend</t>
        </is>
      </c>
      <c r="K30" s="16" t="inlineStr">
        <is>
          <t>Küchenchef</t>
        </is>
      </c>
    </row>
    <row r="31" ht="18" customHeight="1">
      <c r="A31" s="60" t="n">
        <v>2</v>
      </c>
      <c r="B31" s="22" t="inlineStr">
        <is>
          <t>Kirschtomaten</t>
        </is>
      </c>
      <c r="C31" s="22" t="inlineStr">
        <is>
          <t>Obst &amp; Gemüse</t>
        </is>
      </c>
      <c r="D31" s="42" t="n">
        <v>3</v>
      </c>
      <c r="E31" s="27" t="inlineStr">
        <is>
          <t>kg</t>
        </is>
      </c>
      <c r="F31" s="56">
        <f>IFERROR(VLOOKUP(B31,'🏪 Lieferanten'!$A$6:$E$20,5,FALSE),0)</f>
        <v/>
      </c>
      <c r="G31" s="61">
        <f>IFERROR(IF(D31="","",D31*F31),0)</f>
        <v/>
      </c>
      <c r="H31" s="22" t="inlineStr">
        <is>
          <t>Überreif geliefert</t>
        </is>
      </c>
      <c r="I31" s="27" t="inlineStr">
        <is>
          <t>05.04.2025</t>
        </is>
      </c>
      <c r="J31" s="27" t="inlineStr">
        <is>
          <t>Mittag</t>
        </is>
      </c>
      <c r="K31" s="22" t="inlineStr">
        <is>
          <t>Sous-Chef</t>
        </is>
      </c>
    </row>
    <row r="32" ht="18" customHeight="1">
      <c r="A32" s="60" t="n">
        <v>6</v>
      </c>
      <c r="B32" s="16" t="inlineStr">
        <is>
          <t>Ganzes Hähnchen</t>
        </is>
      </c>
      <c r="C32" s="16" t="inlineStr">
        <is>
          <t>Fleisch &amp; Geflügel</t>
        </is>
      </c>
      <c r="D32" s="42" t="n">
        <v>1.5</v>
      </c>
      <c r="E32" s="21" t="inlineStr">
        <is>
          <t>kg</t>
        </is>
      </c>
      <c r="F32" s="55">
        <f>IFERROR(VLOOKUP(B32,'🏪 Lieferanten'!$A$6:$E$20,5,FALSE),0)</f>
        <v/>
      </c>
      <c r="G32" s="29">
        <f>IFERROR(IF(D32="","",D32*F32),0)</f>
        <v/>
      </c>
      <c r="H32" s="16" t="inlineStr">
        <is>
          <t>Abgelaufen</t>
        </is>
      </c>
      <c r="I32" s="21" t="inlineStr">
        <is>
          <t>20.04.2025</t>
        </is>
      </c>
      <c r="J32" s="21" t="inlineStr">
        <is>
          <t>Vormittag</t>
        </is>
      </c>
      <c r="K32" s="16" t="inlineStr">
        <is>
          <t>Küchenchef</t>
        </is>
      </c>
    </row>
    <row r="33" ht="18" customHeight="1">
      <c r="A33" s="60" t="inlineStr"/>
      <c r="B33" s="22" t="inlineStr"/>
      <c r="C33" s="22" t="inlineStr"/>
      <c r="D33" s="42" t="n"/>
      <c r="E33" s="27" t="inlineStr"/>
      <c r="F33" s="56">
        <f>IFERROR(VLOOKUP(B33,'🏪 Lieferanten'!$A$6:$E$20,5,FALSE),0)</f>
        <v/>
      </c>
      <c r="G33" s="61">
        <f>IFERROR(IF(D33="","",D33*F33),0)</f>
        <v/>
      </c>
      <c r="H33" s="22" t="inlineStr"/>
      <c r="I33" s="27" t="inlineStr"/>
      <c r="J33" s="27" t="inlineStr"/>
      <c r="K33" s="22" t="inlineStr"/>
    </row>
    <row r="34" ht="18" customHeight="1">
      <c r="A34" s="60" t="inlineStr"/>
      <c r="B34" s="16" t="inlineStr"/>
      <c r="C34" s="16" t="inlineStr"/>
      <c r="D34" s="42" t="n"/>
      <c r="E34" s="21" t="inlineStr"/>
      <c r="F34" s="55">
        <f>IFERROR(VLOOKUP(B34,'🏪 Lieferanten'!$A$6:$E$20,5,FALSE),0)</f>
        <v/>
      </c>
      <c r="G34" s="29">
        <f>IFERROR(IF(D34="","",D34*F34),0)</f>
        <v/>
      </c>
      <c r="H34" s="16" t="inlineStr"/>
      <c r="I34" s="21" t="inlineStr"/>
      <c r="J34" s="21" t="inlineStr"/>
      <c r="K34" s="16" t="inlineStr"/>
    </row>
    <row r="35" ht="18" customHeight="1">
      <c r="A35" s="60" t="inlineStr"/>
      <c r="B35" s="22" t="inlineStr"/>
      <c r="C35" s="22" t="inlineStr"/>
      <c r="D35" s="42" t="n"/>
      <c r="E35" s="27" t="inlineStr"/>
      <c r="F35" s="56">
        <f>IFERROR(VLOOKUP(B35,'🏪 Lieferanten'!$A$6:$E$20,5,FALSE),0)</f>
        <v/>
      </c>
      <c r="G35" s="61">
        <f>IFERROR(IF(D35="","",D35*F35),0)</f>
        <v/>
      </c>
      <c r="H35" s="22" t="inlineStr"/>
      <c r="I35" s="27" t="inlineStr"/>
      <c r="J35" s="27" t="inlineStr"/>
      <c r="K35" s="22" t="inlineStr"/>
    </row>
    <row r="36" ht="18" customHeight="1">
      <c r="A36" s="60" t="inlineStr"/>
      <c r="B36" s="16" t="inlineStr"/>
      <c r="C36" s="16" t="inlineStr"/>
      <c r="D36" s="42" t="n"/>
      <c r="E36" s="21" t="inlineStr"/>
      <c r="F36" s="55">
        <f>IFERROR(VLOOKUP(B36,'🏪 Lieferanten'!$A$6:$E$20,5,FALSE),0)</f>
        <v/>
      </c>
      <c r="G36" s="29">
        <f>IFERROR(IF(D36="","",D36*F36),0)</f>
        <v/>
      </c>
      <c r="H36" s="16" t="inlineStr"/>
      <c r="I36" s="21" t="inlineStr"/>
      <c r="J36" s="21" t="inlineStr"/>
      <c r="K36" s="16" t="inlineStr"/>
    </row>
    <row r="37" ht="18" customHeight="1">
      <c r="A37" s="60" t="inlineStr"/>
      <c r="B37" s="22" t="inlineStr"/>
      <c r="C37" s="22" t="inlineStr"/>
      <c r="D37" s="42" t="n"/>
      <c r="E37" s="27" t="inlineStr"/>
      <c r="F37" s="56">
        <f>IFERROR(VLOOKUP(B37,'🏪 Lieferanten'!$A$6:$E$20,5,FALSE),0)</f>
        <v/>
      </c>
      <c r="G37" s="61">
        <f>IFERROR(IF(D37="","",D37*F37),0)</f>
        <v/>
      </c>
      <c r="H37" s="22" t="inlineStr"/>
      <c r="I37" s="27" t="inlineStr"/>
      <c r="J37" s="27" t="inlineStr"/>
      <c r="K37" s="22" t="inlineStr"/>
    </row>
    <row r="38" ht="18" customHeight="1">
      <c r="A38" s="60" t="inlineStr"/>
      <c r="B38" s="16" t="inlineStr"/>
      <c r="C38" s="16" t="inlineStr"/>
      <c r="D38" s="42" t="n"/>
      <c r="E38" s="21" t="inlineStr"/>
      <c r="F38" s="55">
        <f>IFERROR(VLOOKUP(B38,'🏪 Lieferanten'!$A$6:$E$20,5,FALSE),0)</f>
        <v/>
      </c>
      <c r="G38" s="29">
        <f>IFERROR(IF(D38="","",D38*F38),0)</f>
        <v/>
      </c>
      <c r="H38" s="16" t="inlineStr"/>
      <c r="I38" s="21" t="inlineStr"/>
      <c r="J38" s="21" t="inlineStr"/>
      <c r="K38" s="16" t="inlineStr"/>
    </row>
    <row r="39" ht="18" customHeight="1">
      <c r="A39" s="60" t="inlineStr"/>
      <c r="B39" s="22" t="inlineStr"/>
      <c r="C39" s="22" t="inlineStr"/>
      <c r="D39" s="42" t="n"/>
      <c r="E39" s="27" t="inlineStr"/>
      <c r="F39" s="56">
        <f>IFERROR(VLOOKUP(B39,'🏪 Lieferanten'!$A$6:$E$20,5,FALSE),0)</f>
        <v/>
      </c>
      <c r="G39" s="61">
        <f>IFERROR(IF(D39="","",D39*F39),0)</f>
        <v/>
      </c>
      <c r="H39" s="22" t="inlineStr"/>
      <c r="I39" s="27" t="inlineStr"/>
      <c r="J39" s="27" t="inlineStr"/>
      <c r="K39" s="22" t="inlineStr"/>
    </row>
    <row r="40" ht="18" customHeight="1">
      <c r="A40" s="60" t="inlineStr"/>
      <c r="B40" s="16" t="inlineStr"/>
      <c r="C40" s="16" t="inlineStr"/>
      <c r="D40" s="42" t="n"/>
      <c r="E40" s="21" t="inlineStr"/>
      <c r="F40" s="55">
        <f>IFERROR(VLOOKUP(B40,'🏪 Lieferanten'!$A$6:$E$20,5,FALSE),0)</f>
        <v/>
      </c>
      <c r="G40" s="29">
        <f>IFERROR(IF(D40="","",D40*F40),0)</f>
        <v/>
      </c>
      <c r="H40" s="16" t="inlineStr"/>
      <c r="I40" s="21" t="inlineStr"/>
      <c r="J40" s="21" t="inlineStr"/>
      <c r="K40" s="16" t="inlineStr"/>
    </row>
    <row r="41" ht="18" customHeight="1">
      <c r="A41" s="60" t="inlineStr"/>
      <c r="B41" s="22" t="inlineStr"/>
      <c r="C41" s="22" t="inlineStr"/>
      <c r="D41" s="42" t="n"/>
      <c r="E41" s="27" t="inlineStr"/>
      <c r="F41" s="56">
        <f>IFERROR(VLOOKUP(B41,'🏪 Lieferanten'!$A$6:$E$20,5,FALSE),0)</f>
        <v/>
      </c>
      <c r="G41" s="61">
        <f>IFERROR(IF(D41="","",D41*F41),0)</f>
        <v/>
      </c>
      <c r="H41" s="22" t="inlineStr"/>
      <c r="I41" s="27" t="inlineStr"/>
      <c r="J41" s="27" t="inlineStr"/>
      <c r="K41" s="22" t="inlineStr"/>
    </row>
    <row r="42" ht="18" customHeight="1">
      <c r="A42" s="60" t="inlineStr"/>
      <c r="B42" s="16" t="inlineStr"/>
      <c r="C42" s="16" t="inlineStr"/>
      <c r="D42" s="42" t="n"/>
      <c r="E42" s="21" t="inlineStr"/>
      <c r="F42" s="55">
        <f>IFERROR(VLOOKUP(B42,'🏪 Lieferanten'!$A$6:$E$20,5,FALSE),0)</f>
        <v/>
      </c>
      <c r="G42" s="29">
        <f>IFERROR(IF(D42="","",D42*F42),0)</f>
        <v/>
      </c>
      <c r="H42" s="16" t="inlineStr"/>
      <c r="I42" s="21" t="inlineStr"/>
      <c r="J42" s="21" t="inlineStr"/>
      <c r="K42" s="16" t="inlineStr"/>
    </row>
    <row r="43" ht="18" customHeight="1">
      <c r="A43" s="60" t="inlineStr"/>
      <c r="B43" s="22" t="inlineStr"/>
      <c r="C43" s="22" t="inlineStr"/>
      <c r="D43" s="42" t="n"/>
      <c r="E43" s="27" t="inlineStr"/>
      <c r="F43" s="56">
        <f>IFERROR(VLOOKUP(B43,'🏪 Lieferanten'!$A$6:$E$20,5,FALSE),0)</f>
        <v/>
      </c>
      <c r="G43" s="61">
        <f>IFERROR(IF(D43="","",D43*F43),0)</f>
        <v/>
      </c>
      <c r="H43" s="22" t="inlineStr"/>
      <c r="I43" s="27" t="inlineStr"/>
      <c r="J43" s="27" t="inlineStr"/>
      <c r="K43" s="22" t="inlineStr"/>
    </row>
    <row r="44" ht="18" customHeight="1">
      <c r="A44" s="60" t="inlineStr"/>
      <c r="B44" s="16" t="inlineStr"/>
      <c r="C44" s="16" t="inlineStr"/>
      <c r="D44" s="42" t="n"/>
      <c r="E44" s="21" t="inlineStr"/>
      <c r="F44" s="55">
        <f>IFERROR(VLOOKUP(B44,'🏪 Lieferanten'!$A$6:$E$20,5,FALSE),0)</f>
        <v/>
      </c>
      <c r="G44" s="29">
        <f>IFERROR(IF(D44="","",D44*F44),0)</f>
        <v/>
      </c>
      <c r="H44" s="16" t="inlineStr"/>
      <c r="I44" s="21" t="inlineStr"/>
      <c r="J44" s="21" t="inlineStr"/>
      <c r="K44" s="16" t="inlineStr"/>
    </row>
    <row r="45" ht="18" customHeight="1">
      <c r="A45" s="60" t="inlineStr"/>
      <c r="B45" s="22" t="inlineStr"/>
      <c r="C45" s="22" t="inlineStr"/>
      <c r="D45" s="42" t="n"/>
      <c r="E45" s="27" t="inlineStr"/>
      <c r="F45" s="56">
        <f>IFERROR(VLOOKUP(B45,'🏪 Lieferanten'!$A$6:$E$20,5,FALSE),0)</f>
        <v/>
      </c>
      <c r="G45" s="61">
        <f>IFERROR(IF(D45="","",D45*F45),0)</f>
        <v/>
      </c>
      <c r="H45" s="22" t="inlineStr"/>
      <c r="I45" s="27" t="inlineStr"/>
      <c r="J45" s="27" t="inlineStr"/>
      <c r="K45" s="22" t="inlineStr"/>
    </row>
    <row r="46" ht="22" customHeight="1">
      <c r="A46" s="46" t="inlineStr">
        <is>
          <t>GESAMTSCHWUND PROTOKOLLIERT</t>
        </is>
      </c>
      <c r="B46" s="62" t="n"/>
      <c r="C46" s="62" t="n"/>
      <c r="D46" s="62" t="n"/>
      <c r="E46" s="62" t="n"/>
      <c r="F46" s="62" t="n"/>
      <c r="G46" s="47">
        <f>IFERROR(SUMIF(G30:G45,"&gt;0"),0)</f>
        <v/>
      </c>
      <c r="H46" s="62" t="n"/>
      <c r="I46" s="62" t="n"/>
      <c r="J46" s="62" t="n"/>
      <c r="K46" s="62" t="n"/>
    </row>
    <row r="48">
      <c r="A48" s="33" t="inlineStr">
        <is>
          <t>LeSousChef · lesouschef.com · Dozo Tech · SYSTEMS THAT BREATHE</t>
        </is>
      </c>
    </row>
  </sheetData>
  <mergeCells count="5">
    <mergeCell ref="A48:H48"/>
    <mergeCell ref="A2:I2"/>
    <mergeCell ref="A1:I1"/>
    <mergeCell ref="A28:K28"/>
    <mergeCell ref="A4:I4"/>
  </mergeCells>
  <dataValidations count="3">
    <dataValidation sqref="B6:B25" showDropDown="0" showInputMessage="0" showErrorMessage="0" allowBlank="1" type="list">
      <formula1>=Kategorien</formula1>
    </dataValidation>
    <dataValidation sqref="A30:A45" showDropDown="0" showInputMessage="0" showErrorMessage="1" allowBlank="1" errorTitle="Week out of range" error="Value must be between 1 and 9." type="whole" operator="between">
      <formula1>1</formula1>
      <formula2>9</formula2>
    </dataValidation>
    <dataValidation sqref="C30:C45" showDropDown="0" showInputMessage="0" showErrorMessage="0" allowBlank="1" type="list">
      <formula1>=Kategorien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</cols>
  <sheetData>
    <row r="1">
      <c r="A1" s="34" t="inlineStr">
        <is>
          <t>LIEFERANTEN &amp; PREISLISTE</t>
        </is>
      </c>
    </row>
    <row r="2">
      <c r="A2" s="43">
        <f>"Währung: "&amp;'⚙️ Einstellungen'!$B$10&amp;"  |  Maßsystem: "&amp;'⚙️ Einstellungen'!$B$11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63" t="inlineStr">
        <is>
          <t>⚠ Einzige Preisquelle. Hier aktualisieren — Kosten in Inventar und Schwund-Log berechnen sich automatisch neu.</t>
        </is>
      </c>
    </row>
    <row r="5">
      <c r="A5" s="15" t="inlineStr">
        <is>
          <t>Artikel</t>
        </is>
      </c>
      <c r="B5" s="15" t="inlineStr">
        <is>
          <t>Kategorie</t>
        </is>
      </c>
      <c r="C5" s="15" t="inlineStr">
        <is>
          <t>Lieferant</t>
        </is>
      </c>
      <c r="D5" s="15" t="inlineStr">
        <is>
          <t>Einheit</t>
        </is>
      </c>
      <c r="E5" s="15">
        <f>"Aktueller Preis ("&amp;'⚙️ Einstellungen'!$B$10&amp;")"</f>
        <v/>
      </c>
      <c r="F5" s="15">
        <f>"Vorheriger Preis ("&amp;'⚙️ Einstellungen'!$B$10&amp;")"</f>
        <v/>
      </c>
      <c r="G5" s="15">
        <f>"Änderung ("&amp;'⚙️ Einstellungen'!$B$10&amp;")"</f>
        <v/>
      </c>
      <c r="H5" s="15" t="inlineStr">
        <is>
          <t>Änderung %</t>
        </is>
      </c>
      <c r="I5" s="15" t="inlineStr">
        <is>
          <t>Zuletzt aktualisiert</t>
        </is>
      </c>
      <c r="J5" s="15" t="inlineStr">
        <is>
          <t>Notizen</t>
        </is>
      </c>
    </row>
    <row r="6" ht="18" customHeight="1">
      <c r="A6" s="16" t="inlineStr">
        <is>
          <t>Entrecôte</t>
        </is>
      </c>
      <c r="B6" s="16" t="inlineStr">
        <is>
          <t>Fleisch &amp; Geflügel</t>
        </is>
      </c>
      <c r="C6" s="16" t="inlineStr">
        <is>
          <t>Metzgerei García</t>
        </is>
      </c>
      <c r="D6" s="21" t="inlineStr">
        <is>
          <t>kg</t>
        </is>
      </c>
      <c r="E6" s="42" t="n">
        <v>18.5</v>
      </c>
      <c r="F6" s="42" t="n">
        <v>17.8</v>
      </c>
      <c r="G6" s="20">
        <f>IFERROR(IF(E6="","",E6-F6),"")</f>
        <v/>
      </c>
      <c r="H6" s="64">
        <f>IFERROR(IF(OR(F6="",F6=0),"",(E6-F6)/F6),"")</f>
        <v/>
      </c>
      <c r="I6" s="21" t="inlineStr"/>
      <c r="J6" s="16" t="inlineStr"/>
    </row>
    <row r="7" ht="18" customHeight="1">
      <c r="A7" s="22" t="inlineStr">
        <is>
          <t>Ganzes Hähnchen</t>
        </is>
      </c>
      <c r="B7" s="22" t="inlineStr">
        <is>
          <t>Fleisch &amp; Geflügel</t>
        </is>
      </c>
      <c r="C7" s="22" t="inlineStr">
        <is>
          <t>Pérez Großhandel</t>
        </is>
      </c>
      <c r="D7" s="27" t="inlineStr">
        <is>
          <t>kg</t>
        </is>
      </c>
      <c r="E7" s="42" t="n">
        <v>4.2</v>
      </c>
      <c r="F7" s="42" t="n">
        <v>4</v>
      </c>
      <c r="G7" s="26">
        <f>IFERROR(IF(E7="","",E7-F7),"")</f>
        <v/>
      </c>
      <c r="H7" s="65">
        <f>IFERROR(IF(OR(F7="",F7=0),"",(E7-F7)/F7),"")</f>
        <v/>
      </c>
      <c r="I7" s="27" t="inlineStr"/>
      <c r="J7" s="22" t="inlineStr"/>
    </row>
    <row r="8" ht="18" customHeight="1">
      <c r="A8" s="16" t="inlineStr">
        <is>
          <t>Frischer Lachs</t>
        </is>
      </c>
      <c r="B8" s="16" t="inlineStr">
        <is>
          <t>Fisch &amp; Meeresfrüchte</t>
        </is>
      </c>
      <c r="C8" s="16" t="inlineStr">
        <is>
          <t>Fischgroßhandel Nord</t>
        </is>
      </c>
      <c r="D8" s="21" t="inlineStr">
        <is>
          <t>kg</t>
        </is>
      </c>
      <c r="E8" s="42" t="n">
        <v>14.8</v>
      </c>
      <c r="F8" s="42" t="n">
        <v>15.2</v>
      </c>
      <c r="G8" s="20">
        <f>IFERROR(IF(E8="","",E8-F8),"")</f>
        <v/>
      </c>
      <c r="H8" s="64">
        <f>IFERROR(IF(OR(F8="",F8=0),"",(E8-F8)/F8),"")</f>
        <v/>
      </c>
      <c r="I8" s="21" t="inlineStr"/>
      <c r="J8" s="16" t="inlineStr"/>
    </row>
    <row r="9" ht="18" customHeight="1">
      <c r="A9" s="22" t="inlineStr">
        <is>
          <t>Kirschtomaten</t>
        </is>
      </c>
      <c r="B9" s="22" t="inlineStr">
        <is>
          <t>Obst &amp; Gemüse</t>
        </is>
      </c>
      <c r="C9" s="22" t="inlineStr">
        <is>
          <t>Großmarkt</t>
        </is>
      </c>
      <c r="D9" s="27" t="inlineStr">
        <is>
          <t>kg</t>
        </is>
      </c>
      <c r="E9" s="42" t="n">
        <v>1.8</v>
      </c>
      <c r="F9" s="42" t="n">
        <v>1.6</v>
      </c>
      <c r="G9" s="26">
        <f>IFERROR(IF(E9="","",E9-F9),"")</f>
        <v/>
      </c>
      <c r="H9" s="65">
        <f>IFERROR(IF(OR(F9="",F9=0),"",(E9-F9)/F9),"")</f>
        <v/>
      </c>
      <c r="I9" s="27" t="inlineStr"/>
      <c r="J9" s="22" t="inlineStr"/>
    </row>
    <row r="10" ht="18" customHeight="1">
      <c r="A10" s="16" t="inlineStr">
        <is>
          <t>Kartoffeln</t>
        </is>
      </c>
      <c r="B10" s="16" t="inlineStr">
        <is>
          <t>Obst &amp; Gemüse</t>
        </is>
      </c>
      <c r="C10" s="16" t="inlineStr">
        <is>
          <t>Großmarkt</t>
        </is>
      </c>
      <c r="D10" s="21" t="inlineStr">
        <is>
          <t>kg</t>
        </is>
      </c>
      <c r="E10" s="42" t="n">
        <v>0.65</v>
      </c>
      <c r="F10" s="42" t="n">
        <v>0.65</v>
      </c>
      <c r="G10" s="20">
        <f>IFERROR(IF(E10="","",E10-F10),"")</f>
        <v/>
      </c>
      <c r="H10" s="64">
        <f>IFERROR(IF(OR(F10="",F10=0),"",(E10-F10)/F10),"")</f>
        <v/>
      </c>
      <c r="I10" s="21" t="inlineStr"/>
      <c r="J10" s="16" t="inlineStr"/>
    </row>
    <row r="11" ht="18" customHeight="1">
      <c r="A11" s="22" t="inlineStr">
        <is>
          <t>Manchego-Käse</t>
        </is>
      </c>
      <c r="B11" s="22" t="inlineStr">
        <is>
          <t>Milchprodukte &amp; Eier</t>
        </is>
      </c>
      <c r="C11" s="22" t="inlineStr">
        <is>
          <t>Käserei Handwerk</t>
        </is>
      </c>
      <c r="D11" s="27" t="inlineStr">
        <is>
          <t>kg</t>
        </is>
      </c>
      <c r="E11" s="42" t="n">
        <v>12</v>
      </c>
      <c r="F11" s="42" t="n">
        <v>11.5</v>
      </c>
      <c r="G11" s="26">
        <f>IFERROR(IF(E11="","",E11-F11),"")</f>
        <v/>
      </c>
      <c r="H11" s="65">
        <f>IFERROR(IF(OR(F11="",F11=0),"",(E11-F11)/F11),"")</f>
        <v/>
      </c>
      <c r="I11" s="27" t="inlineStr"/>
      <c r="J11" s="22" t="inlineStr"/>
    </row>
    <row r="12" ht="18" customHeight="1">
      <c r="A12" s="16" t="inlineStr">
        <is>
          <t>Freilandeier L</t>
        </is>
      </c>
      <c r="B12" s="16" t="inlineStr">
        <is>
          <t>Milchprodukte &amp; Eier</t>
        </is>
      </c>
      <c r="C12" s="16" t="inlineStr">
        <is>
          <t>Bauernhof Einigkeit</t>
        </is>
      </c>
      <c r="D12" s="21" t="inlineStr">
        <is>
          <t>Dutzend</t>
        </is>
      </c>
      <c r="E12" s="42" t="n">
        <v>2.4</v>
      </c>
      <c r="F12" s="42" t="n">
        <v>2.2</v>
      </c>
      <c r="G12" s="20">
        <f>IFERROR(IF(E12="","",E12-F12),"")</f>
        <v/>
      </c>
      <c r="H12" s="64">
        <f>IFERROR(IF(OR(F12="",F12=0),"",(E12-F12)/F12),"")</f>
        <v/>
      </c>
      <c r="I12" s="21" t="inlineStr"/>
      <c r="J12" s="16" t="inlineStr"/>
    </row>
    <row r="13" ht="18" customHeight="1">
      <c r="A13" s="22" t="inlineStr">
        <is>
          <t>Weizenmehl Type 550</t>
        </is>
      </c>
      <c r="B13" s="22" t="inlineStr">
        <is>
          <t>Backwaren &amp; Konditorei</t>
        </is>
      </c>
      <c r="C13" s="22" t="inlineStr">
        <is>
          <t>Roca Mühle</t>
        </is>
      </c>
      <c r="D13" s="27" t="inlineStr">
        <is>
          <t>kg</t>
        </is>
      </c>
      <c r="E13" s="42" t="n">
        <v>0.9</v>
      </c>
      <c r="F13" s="42" t="n">
        <v>0.85</v>
      </c>
      <c r="G13" s="26">
        <f>IFERROR(IF(E13="","",E13-F13),"")</f>
        <v/>
      </c>
      <c r="H13" s="65">
        <f>IFERROR(IF(OR(F13="",F13=0),"",(E13-F13)/F13),"")</f>
        <v/>
      </c>
      <c r="I13" s="27" t="inlineStr"/>
      <c r="J13" s="22" t="inlineStr"/>
    </row>
    <row r="14" ht="18" customHeight="1">
      <c r="A14" s="16" t="inlineStr">
        <is>
          <t>Natives Olivenöl extra</t>
        </is>
      </c>
      <c r="B14" s="16" t="inlineStr">
        <is>
          <t>Trocken- &amp; Konservenware</t>
        </is>
      </c>
      <c r="C14" s="16" t="inlineStr">
        <is>
          <t>Ölhandel Martínez</t>
        </is>
      </c>
      <c r="D14" s="21" t="inlineStr">
        <is>
          <t>Liter</t>
        </is>
      </c>
      <c r="E14" s="42" t="n">
        <v>6.5</v>
      </c>
      <c r="F14" s="42" t="n">
        <v>6</v>
      </c>
      <c r="G14" s="20">
        <f>IFERROR(IF(E14="","",E14-F14),"")</f>
        <v/>
      </c>
      <c r="H14" s="64">
        <f>IFERROR(IF(OR(F14="",F14=0),"",(E14-F14)/F14),"")</f>
        <v/>
      </c>
      <c r="I14" s="21" t="inlineStr"/>
      <c r="J14" s="16" t="inlineStr"/>
    </row>
    <row r="15" ht="18" customHeight="1">
      <c r="A15" s="22" t="inlineStr">
        <is>
          <t>Mineralwasser 1.5L</t>
        </is>
      </c>
      <c r="B15" s="22" t="inlineStr">
        <is>
          <t>Alkoholfreie Getränke</t>
        </is>
      </c>
      <c r="C15" s="22" t="inlineStr">
        <is>
          <t>Nord Vertrieb</t>
        </is>
      </c>
      <c r="D15" s="27" t="inlineStr">
        <is>
          <t>Kiste 12St</t>
        </is>
      </c>
      <c r="E15" s="42" t="n">
        <v>4.2</v>
      </c>
      <c r="F15" s="42" t="n">
        <v>4.2</v>
      </c>
      <c r="G15" s="26">
        <f>IFERROR(IF(E15="","",E15-F15),"")</f>
        <v/>
      </c>
      <c r="H15" s="65">
        <f>IFERROR(IF(OR(F15="",F15=0),"",(E15-F15)/F15),"")</f>
        <v/>
      </c>
      <c r="I15" s="27" t="inlineStr"/>
      <c r="J15" s="22" t="inlineStr"/>
    </row>
    <row r="16" ht="18" customHeight="1">
      <c r="A16" s="16" t="inlineStr"/>
      <c r="B16" s="16" t="inlineStr"/>
      <c r="C16" s="16" t="inlineStr"/>
      <c r="D16" s="21" t="inlineStr"/>
      <c r="E16" s="42" t="n"/>
      <c r="F16" s="42" t="n"/>
      <c r="G16" s="20">
        <f>IFERROR(IF(E16="","",E16-F16),"")</f>
        <v/>
      </c>
      <c r="H16" s="64">
        <f>IFERROR(IF(OR(F16="",F16=0),"",(E16-F16)/F16),"")</f>
        <v/>
      </c>
      <c r="I16" s="21" t="inlineStr"/>
      <c r="J16" s="16" t="inlineStr"/>
    </row>
    <row r="17" ht="18" customHeight="1">
      <c r="A17" s="22" t="inlineStr"/>
      <c r="B17" s="22" t="inlineStr"/>
      <c r="C17" s="22" t="inlineStr"/>
      <c r="D17" s="27" t="inlineStr"/>
      <c r="E17" s="42" t="n"/>
      <c r="F17" s="42" t="n"/>
      <c r="G17" s="26">
        <f>IFERROR(IF(E17="","",E17-F17),"")</f>
        <v/>
      </c>
      <c r="H17" s="65">
        <f>IFERROR(IF(OR(F17="",F17=0),"",(E17-F17)/F17),"")</f>
        <v/>
      </c>
      <c r="I17" s="27" t="inlineStr"/>
      <c r="J17" s="22" t="inlineStr"/>
    </row>
    <row r="18" ht="18" customHeight="1">
      <c r="A18" s="16" t="inlineStr"/>
      <c r="B18" s="16" t="inlineStr"/>
      <c r="C18" s="16" t="inlineStr"/>
      <c r="D18" s="21" t="inlineStr"/>
      <c r="E18" s="42" t="n"/>
      <c r="F18" s="42" t="n"/>
      <c r="G18" s="20">
        <f>IFERROR(IF(E18="","",E18-F18),"")</f>
        <v/>
      </c>
      <c r="H18" s="64">
        <f>IFERROR(IF(OR(F18="",F18=0),"",(E18-F18)/F18),"")</f>
        <v/>
      </c>
      <c r="I18" s="21" t="inlineStr"/>
      <c r="J18" s="16" t="inlineStr"/>
    </row>
    <row r="19" ht="18" customHeight="1">
      <c r="A19" s="22" t="inlineStr"/>
      <c r="B19" s="22" t="inlineStr"/>
      <c r="C19" s="22" t="inlineStr"/>
      <c r="D19" s="27" t="inlineStr"/>
      <c r="E19" s="42" t="n"/>
      <c r="F19" s="42" t="n"/>
      <c r="G19" s="26">
        <f>IFERROR(IF(E19="","",E19-F19),"")</f>
        <v/>
      </c>
      <c r="H19" s="65">
        <f>IFERROR(IF(OR(F19="",F19=0),"",(E19-F19)/F19),"")</f>
        <v/>
      </c>
      <c r="I19" s="27" t="inlineStr"/>
      <c r="J19" s="22" t="inlineStr"/>
    </row>
    <row r="20" ht="18" customHeight="1">
      <c r="A20" s="16" t="inlineStr"/>
      <c r="B20" s="16" t="inlineStr"/>
      <c r="C20" s="16" t="inlineStr"/>
      <c r="D20" s="21" t="inlineStr"/>
      <c r="E20" s="42" t="n"/>
      <c r="F20" s="42" t="n"/>
      <c r="G20" s="20">
        <f>IFERROR(IF(E20="","",E20-F20),"")</f>
        <v/>
      </c>
      <c r="H20" s="64">
        <f>IFERROR(IF(OR(F20="",F20=0),"",(E20-F20)/F20),"")</f>
        <v/>
      </c>
      <c r="I20" s="21" t="inlineStr"/>
      <c r="J20" s="16" t="inlineStr"/>
    </row>
    <row r="22">
      <c r="A22" s="33" t="inlineStr">
        <is>
          <t>LeSousChef · lesouschef.com · Dozo Tech · SYSTEMS THAT BREATHE</t>
        </is>
      </c>
    </row>
  </sheetData>
  <mergeCells count="4">
    <mergeCell ref="A1:J1"/>
    <mergeCell ref="A4:J4"/>
    <mergeCell ref="A22:H22"/>
    <mergeCell ref="A2:J2"/>
  </mergeCells>
  <dataValidations count="1">
    <dataValidation sqref="B6:B20" showDropDown="0" showInputMessage="0" showErrorMessage="0" allowBlank="1" type="list">
      <formula1>=Kategorien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2026-04-16T20:43:14Z</dcterms:created>
  <dcterms:modified xmlns:dcterms="http://purl.org/dc/terms/" xmlns:xsi="http://www.w3.org/2001/XMLSchema-instance" xsi:type="dcterms:W3CDTF">2026-04-16T20:43:14Z</dcterms:modified>
</cp:coreProperties>
</file>